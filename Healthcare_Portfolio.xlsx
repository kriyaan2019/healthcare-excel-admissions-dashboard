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krishnamishra/Desktop/"/>
    </mc:Choice>
  </mc:AlternateContent>
  <xr:revisionPtr revIDLastSave="0" documentId="8_{6477D413-CAB7-9346-9A6D-5BB88CD1BDDD}" xr6:coauthVersionLast="47" xr6:coauthVersionMax="47" xr10:uidLastSave="{00000000-0000-0000-0000-000000000000}"/>
  <bookViews>
    <workbookView xWindow="20" yWindow="500" windowWidth="25220" windowHeight="14160" activeTab="1" xr2:uid="{00000000-000D-0000-FFFF-FFFF00000000}"/>
  </bookViews>
  <sheets>
    <sheet name="Pivot_Analysis" sheetId="7" state="hidden" r:id="rId1"/>
    <sheet name="Patient_Admissions" sheetId="1" r:id="rId2"/>
    <sheet name="Dashboard" sheetId="6" r:id="rId3"/>
    <sheet name="Departments" sheetId="2" r:id="rId4"/>
    <sheet name="Portfolio_Instructions" sheetId="3" state="hidden" r:id="rId5"/>
  </sheets>
  <definedNames>
    <definedName name="Slicer_Dept_Clean">#N/A</definedName>
    <definedName name="Slicer_Gender">#N/A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6" l="1"/>
  <c r="H3" i="6"/>
  <c r="D3"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O89" i="1"/>
  <c r="O97" i="1"/>
  <c r="O101" i="1"/>
  <c r="O109" i="1"/>
  <c r="O113" i="1"/>
  <c r="O117" i="1"/>
  <c r="O125" i="1"/>
  <c r="O129" i="1"/>
  <c r="O133" i="1"/>
  <c r="O145" i="1"/>
  <c r="O149" i="1"/>
  <c r="O153" i="1"/>
  <c r="O157" i="1"/>
  <c r="O161" i="1"/>
  <c r="O169" i="1"/>
  <c r="O173" i="1"/>
  <c r="O177" i="1"/>
  <c r="O185" i="1"/>
  <c r="O189" i="1"/>
  <c r="O193" i="1"/>
  <c r="O201" i="1"/>
  <c r="O205" i="1"/>
  <c r="O209" i="1"/>
  <c r="O217" i="1"/>
  <c r="O225" i="1"/>
  <c r="O233" i="1"/>
  <c r="O241" i="1"/>
  <c r="L2" i="1"/>
  <c r="K2" i="1"/>
  <c r="J2" i="1"/>
  <c r="J3" i="1"/>
  <c r="J4" i="1"/>
  <c r="O4" i="1" s="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O3" i="1"/>
  <c r="O8" i="1"/>
  <c r="O12" i="1"/>
  <c r="O14" i="1"/>
  <c r="O16" i="1"/>
  <c r="O20" i="1"/>
  <c r="O22" i="1"/>
  <c r="O42" i="1"/>
  <c r="O74" i="1"/>
  <c r="O93" i="1"/>
  <c r="O103" i="1"/>
  <c r="O104" i="1"/>
  <c r="O105" i="1"/>
  <c r="O110" i="1"/>
  <c r="O116" i="1"/>
  <c r="O119" i="1"/>
  <c r="O120" i="1"/>
  <c r="O124" i="1"/>
  <c r="O136" i="1"/>
  <c r="O137" i="1"/>
  <c r="O143" i="1"/>
  <c r="O144" i="1"/>
  <c r="O146" i="1"/>
  <c r="O156" i="1"/>
  <c r="O165" i="1"/>
  <c r="O181" i="1"/>
  <c r="O197" i="1"/>
  <c r="O213" i="1"/>
  <c r="O215" i="1"/>
  <c r="O219" i="1"/>
  <c r="O221" i="1"/>
  <c r="O223" i="1"/>
  <c r="O227" i="1"/>
  <c r="O229" i="1"/>
  <c r="O231" i="1"/>
  <c r="O235" i="1"/>
  <c r="O237" i="1"/>
  <c r="O239" i="1"/>
  <c r="O30" i="1"/>
  <c r="O88" i="1"/>
  <c r="O90" i="1"/>
  <c r="O96" i="1"/>
  <c r="O141" i="1"/>
  <c r="O86" i="1"/>
  <c r="O108" i="1"/>
  <c r="O121" i="1"/>
  <c r="O140" i="1"/>
  <c r="K3" i="1"/>
  <c r="L3" i="1"/>
  <c r="M3" i="1"/>
  <c r="K4" i="1"/>
  <c r="L4" i="1"/>
  <c r="M4" i="1" s="1"/>
  <c r="K5" i="1"/>
  <c r="L5" i="1"/>
  <c r="M5" i="1"/>
  <c r="K6" i="1"/>
  <c r="L6" i="1"/>
  <c r="M6" i="1" s="1"/>
  <c r="K7" i="1"/>
  <c r="L7" i="1"/>
  <c r="M7" i="1"/>
  <c r="K8" i="1"/>
  <c r="L8" i="1"/>
  <c r="M8" i="1" s="1"/>
  <c r="K9" i="1"/>
  <c r="L9" i="1"/>
  <c r="M9" i="1"/>
  <c r="K10" i="1"/>
  <c r="L10" i="1"/>
  <c r="M10" i="1" s="1"/>
  <c r="K11" i="1"/>
  <c r="L11" i="1"/>
  <c r="M11" i="1"/>
  <c r="K12" i="1"/>
  <c r="L12" i="1"/>
  <c r="M12" i="1" s="1"/>
  <c r="K13" i="1"/>
  <c r="L13" i="1"/>
  <c r="M13" i="1"/>
  <c r="K14" i="1"/>
  <c r="L14" i="1"/>
  <c r="M14" i="1" s="1"/>
  <c r="K15" i="1"/>
  <c r="L15" i="1"/>
  <c r="M15" i="1"/>
  <c r="K16" i="1"/>
  <c r="L16" i="1"/>
  <c r="M16" i="1" s="1"/>
  <c r="K17" i="1"/>
  <c r="L17" i="1"/>
  <c r="M17" i="1"/>
  <c r="K18" i="1"/>
  <c r="L18" i="1"/>
  <c r="M18" i="1" s="1"/>
  <c r="K19" i="1"/>
  <c r="L19" i="1"/>
  <c r="M19" i="1"/>
  <c r="K20" i="1"/>
  <c r="L20" i="1"/>
  <c r="M20" i="1" s="1"/>
  <c r="K21" i="1"/>
  <c r="L21" i="1"/>
  <c r="M21" i="1"/>
  <c r="K22" i="1"/>
  <c r="L22" i="1"/>
  <c r="M22" i="1" s="1"/>
  <c r="K23" i="1"/>
  <c r="L23" i="1"/>
  <c r="M23" i="1"/>
  <c r="K24" i="1"/>
  <c r="L24" i="1"/>
  <c r="M24" i="1" s="1"/>
  <c r="K25" i="1"/>
  <c r="L25" i="1"/>
  <c r="M25" i="1"/>
  <c r="K26" i="1"/>
  <c r="L26" i="1"/>
  <c r="M26" i="1" s="1"/>
  <c r="K27" i="1"/>
  <c r="L27" i="1"/>
  <c r="M27" i="1" s="1"/>
  <c r="K28" i="1"/>
  <c r="L28" i="1"/>
  <c r="M28" i="1" s="1"/>
  <c r="K29" i="1"/>
  <c r="L29" i="1"/>
  <c r="K30" i="1"/>
  <c r="L30" i="1"/>
  <c r="M30" i="1" s="1"/>
  <c r="K31" i="1"/>
  <c r="L31" i="1"/>
  <c r="M31" i="1" s="1"/>
  <c r="K32" i="1"/>
  <c r="L32" i="1"/>
  <c r="M32" i="1" s="1"/>
  <c r="K33" i="1"/>
  <c r="L33" i="1"/>
  <c r="K34" i="1"/>
  <c r="L34" i="1"/>
  <c r="M34" i="1" s="1"/>
  <c r="K35" i="1"/>
  <c r="L35" i="1"/>
  <c r="M35" i="1" s="1"/>
  <c r="K36" i="1"/>
  <c r="L36" i="1"/>
  <c r="M36" i="1" s="1"/>
  <c r="K37" i="1"/>
  <c r="L37" i="1"/>
  <c r="K38" i="1"/>
  <c r="L38" i="1"/>
  <c r="M38" i="1" s="1"/>
  <c r="K39" i="1"/>
  <c r="L39" i="1"/>
  <c r="M39" i="1" s="1"/>
  <c r="K40" i="1"/>
  <c r="L40" i="1"/>
  <c r="M40" i="1" s="1"/>
  <c r="K41" i="1"/>
  <c r="L41" i="1"/>
  <c r="K42" i="1"/>
  <c r="L42" i="1"/>
  <c r="M42" i="1" s="1"/>
  <c r="K43" i="1"/>
  <c r="L43" i="1"/>
  <c r="M43" i="1" s="1"/>
  <c r="K44" i="1"/>
  <c r="L44" i="1"/>
  <c r="M44" i="1" s="1"/>
  <c r="K45" i="1"/>
  <c r="L45" i="1"/>
  <c r="K46" i="1"/>
  <c r="L46" i="1"/>
  <c r="M46" i="1" s="1"/>
  <c r="K47" i="1"/>
  <c r="L47" i="1"/>
  <c r="M47" i="1" s="1"/>
  <c r="K48" i="1"/>
  <c r="L48" i="1"/>
  <c r="M48" i="1" s="1"/>
  <c r="K49" i="1"/>
  <c r="L49" i="1"/>
  <c r="K50" i="1"/>
  <c r="L50" i="1"/>
  <c r="M50" i="1" s="1"/>
  <c r="K51" i="1"/>
  <c r="L51" i="1"/>
  <c r="M51" i="1" s="1"/>
  <c r="K52" i="1"/>
  <c r="L52" i="1"/>
  <c r="M52" i="1" s="1"/>
  <c r="K53" i="1"/>
  <c r="L53" i="1"/>
  <c r="K54" i="1"/>
  <c r="L54" i="1"/>
  <c r="M54" i="1" s="1"/>
  <c r="K55" i="1"/>
  <c r="L55" i="1"/>
  <c r="M55" i="1" s="1"/>
  <c r="K56" i="1"/>
  <c r="L56" i="1"/>
  <c r="M56" i="1" s="1"/>
  <c r="K57" i="1"/>
  <c r="L57" i="1"/>
  <c r="K58" i="1"/>
  <c r="L58" i="1"/>
  <c r="M58" i="1" s="1"/>
  <c r="K59" i="1"/>
  <c r="L59" i="1"/>
  <c r="M59" i="1" s="1"/>
  <c r="K60" i="1"/>
  <c r="L60" i="1"/>
  <c r="M60" i="1" s="1"/>
  <c r="K61" i="1"/>
  <c r="L61" i="1"/>
  <c r="K62" i="1"/>
  <c r="L62" i="1"/>
  <c r="M62" i="1" s="1"/>
  <c r="K63" i="1"/>
  <c r="L63" i="1"/>
  <c r="M63" i="1" s="1"/>
  <c r="K64" i="1"/>
  <c r="L64" i="1"/>
  <c r="M64" i="1" s="1"/>
  <c r="K65" i="1"/>
  <c r="L65" i="1"/>
  <c r="K66" i="1"/>
  <c r="L66" i="1"/>
  <c r="M66" i="1" s="1"/>
  <c r="K67" i="1"/>
  <c r="L67" i="1"/>
  <c r="M67" i="1" s="1"/>
  <c r="K68" i="1"/>
  <c r="L68" i="1"/>
  <c r="M68" i="1" s="1"/>
  <c r="K69" i="1"/>
  <c r="L69" i="1"/>
  <c r="K70" i="1"/>
  <c r="L70" i="1"/>
  <c r="M70" i="1" s="1"/>
  <c r="K71" i="1"/>
  <c r="L71" i="1"/>
  <c r="M71" i="1" s="1"/>
  <c r="K72" i="1"/>
  <c r="L72" i="1"/>
  <c r="M72" i="1" s="1"/>
  <c r="K73" i="1"/>
  <c r="L73" i="1"/>
  <c r="K74" i="1"/>
  <c r="L74" i="1"/>
  <c r="M74" i="1" s="1"/>
  <c r="K75" i="1"/>
  <c r="L75" i="1"/>
  <c r="M75" i="1" s="1"/>
  <c r="K76" i="1"/>
  <c r="L76" i="1"/>
  <c r="M76" i="1" s="1"/>
  <c r="K77" i="1"/>
  <c r="L77" i="1"/>
  <c r="K78" i="1"/>
  <c r="L78" i="1"/>
  <c r="M78" i="1" s="1"/>
  <c r="K79" i="1"/>
  <c r="L79" i="1"/>
  <c r="M79" i="1" s="1"/>
  <c r="K80" i="1"/>
  <c r="L80" i="1"/>
  <c r="M80" i="1" s="1"/>
  <c r="K81" i="1"/>
  <c r="L81" i="1"/>
  <c r="K82" i="1"/>
  <c r="L82" i="1"/>
  <c r="M82" i="1" s="1"/>
  <c r="K83" i="1"/>
  <c r="L83" i="1"/>
  <c r="M83" i="1" s="1"/>
  <c r="K84" i="1"/>
  <c r="L84" i="1"/>
  <c r="M84" i="1" s="1"/>
  <c r="K85" i="1"/>
  <c r="L85" i="1"/>
  <c r="K86" i="1"/>
  <c r="L86" i="1"/>
  <c r="M86" i="1" s="1"/>
  <c r="K87" i="1"/>
  <c r="L87" i="1"/>
  <c r="M87" i="1" s="1"/>
  <c r="K88" i="1"/>
  <c r="L88" i="1"/>
  <c r="M88" i="1"/>
  <c r="K89" i="1"/>
  <c r="L89" i="1"/>
  <c r="M89" i="1"/>
  <c r="K90" i="1"/>
  <c r="L90" i="1"/>
  <c r="M90" i="1"/>
  <c r="K91" i="1"/>
  <c r="L91" i="1"/>
  <c r="M91" i="1"/>
  <c r="O91" i="1"/>
  <c r="K92" i="1"/>
  <c r="L92" i="1"/>
  <c r="M92" i="1"/>
  <c r="O92" i="1"/>
  <c r="K93" i="1"/>
  <c r="L93" i="1"/>
  <c r="M93" i="1"/>
  <c r="K94" i="1"/>
  <c r="L94" i="1"/>
  <c r="M94" i="1"/>
  <c r="K95" i="1"/>
  <c r="L95" i="1"/>
  <c r="M95" i="1"/>
  <c r="O95" i="1"/>
  <c r="K96" i="1"/>
  <c r="L96" i="1"/>
  <c r="M96" i="1"/>
  <c r="K97" i="1"/>
  <c r="L97" i="1"/>
  <c r="M97" i="1"/>
  <c r="K98" i="1"/>
  <c r="L98" i="1"/>
  <c r="M98" i="1"/>
  <c r="K99" i="1"/>
  <c r="L99" i="1"/>
  <c r="M99" i="1"/>
  <c r="O99" i="1"/>
  <c r="K100" i="1"/>
  <c r="L100" i="1"/>
  <c r="M100" i="1"/>
  <c r="O100" i="1"/>
  <c r="K101" i="1"/>
  <c r="L101" i="1"/>
  <c r="M101" i="1"/>
  <c r="K102" i="1"/>
  <c r="L102" i="1"/>
  <c r="M102" i="1"/>
  <c r="K103" i="1"/>
  <c r="L103" i="1"/>
  <c r="M103" i="1"/>
  <c r="K104" i="1"/>
  <c r="L104" i="1"/>
  <c r="M104" i="1"/>
  <c r="K105" i="1"/>
  <c r="L105" i="1"/>
  <c r="M105" i="1"/>
  <c r="K106" i="1"/>
  <c r="L106" i="1"/>
  <c r="M106" i="1"/>
  <c r="K107" i="1"/>
  <c r="L107" i="1"/>
  <c r="M107" i="1"/>
  <c r="O107" i="1"/>
  <c r="K108" i="1"/>
  <c r="L108" i="1"/>
  <c r="M108" i="1"/>
  <c r="K109" i="1"/>
  <c r="L109" i="1"/>
  <c r="M109" i="1"/>
  <c r="K110" i="1"/>
  <c r="L110" i="1"/>
  <c r="M110" i="1"/>
  <c r="K111" i="1"/>
  <c r="L111" i="1"/>
  <c r="M111" i="1"/>
  <c r="O111" i="1"/>
  <c r="K112" i="1"/>
  <c r="L112" i="1"/>
  <c r="M112" i="1"/>
  <c r="O112" i="1"/>
  <c r="K113" i="1"/>
  <c r="L113" i="1"/>
  <c r="M113" i="1"/>
  <c r="K114" i="1"/>
  <c r="L114" i="1"/>
  <c r="M114" i="1"/>
  <c r="K115" i="1"/>
  <c r="L115" i="1"/>
  <c r="M115" i="1"/>
  <c r="O115" i="1"/>
  <c r="K116" i="1"/>
  <c r="L116" i="1"/>
  <c r="M116" i="1"/>
  <c r="K117" i="1"/>
  <c r="L117" i="1"/>
  <c r="M117" i="1"/>
  <c r="K118" i="1"/>
  <c r="L118" i="1"/>
  <c r="M118" i="1"/>
  <c r="K119" i="1"/>
  <c r="L119" i="1"/>
  <c r="M119" i="1"/>
  <c r="K120" i="1"/>
  <c r="L120" i="1"/>
  <c r="M120" i="1"/>
  <c r="K121" i="1"/>
  <c r="L121" i="1"/>
  <c r="M121" i="1"/>
  <c r="K122" i="1"/>
  <c r="L122" i="1"/>
  <c r="M122" i="1"/>
  <c r="K123" i="1"/>
  <c r="L123" i="1"/>
  <c r="M123" i="1"/>
  <c r="O123" i="1"/>
  <c r="K124" i="1"/>
  <c r="L124" i="1"/>
  <c r="M124" i="1"/>
  <c r="K125" i="1"/>
  <c r="L125" i="1"/>
  <c r="M125" i="1"/>
  <c r="K126" i="1"/>
  <c r="L126" i="1"/>
  <c r="M126" i="1"/>
  <c r="K127" i="1"/>
  <c r="L127" i="1"/>
  <c r="M127" i="1"/>
  <c r="O127" i="1"/>
  <c r="K128" i="1"/>
  <c r="L128" i="1"/>
  <c r="M128" i="1"/>
  <c r="O128" i="1"/>
  <c r="K129" i="1"/>
  <c r="L129" i="1"/>
  <c r="M129" i="1"/>
  <c r="K130" i="1"/>
  <c r="L130" i="1"/>
  <c r="M130" i="1"/>
  <c r="K131" i="1"/>
  <c r="L131" i="1"/>
  <c r="M131" i="1"/>
  <c r="O131" i="1"/>
  <c r="K132" i="1"/>
  <c r="L132" i="1"/>
  <c r="M132" i="1"/>
  <c r="O132" i="1"/>
  <c r="K133" i="1"/>
  <c r="L133" i="1"/>
  <c r="M133" i="1"/>
  <c r="K134" i="1"/>
  <c r="L134" i="1"/>
  <c r="M134" i="1"/>
  <c r="K135" i="1"/>
  <c r="L135" i="1"/>
  <c r="M135" i="1"/>
  <c r="O135" i="1"/>
  <c r="K136" i="1"/>
  <c r="L136" i="1"/>
  <c r="M136" i="1"/>
  <c r="K137" i="1"/>
  <c r="L137" i="1"/>
  <c r="M137" i="1"/>
  <c r="K138" i="1"/>
  <c r="L138" i="1"/>
  <c r="M138" i="1"/>
  <c r="K139" i="1"/>
  <c r="L139" i="1"/>
  <c r="M139" i="1"/>
  <c r="O139" i="1"/>
  <c r="K140" i="1"/>
  <c r="L140" i="1"/>
  <c r="M140" i="1"/>
  <c r="K141" i="1"/>
  <c r="L141" i="1"/>
  <c r="M141" i="1"/>
  <c r="K142" i="1"/>
  <c r="L142" i="1"/>
  <c r="M142" i="1"/>
  <c r="K143" i="1"/>
  <c r="L143" i="1"/>
  <c r="M143" i="1"/>
  <c r="K144" i="1"/>
  <c r="L144" i="1"/>
  <c r="M144" i="1"/>
  <c r="K145" i="1"/>
  <c r="L145" i="1"/>
  <c r="M145" i="1"/>
  <c r="K146" i="1"/>
  <c r="L146" i="1"/>
  <c r="M146" i="1"/>
  <c r="K147" i="1"/>
  <c r="L147" i="1"/>
  <c r="M147" i="1" s="1"/>
  <c r="O147" i="1"/>
  <c r="K148" i="1"/>
  <c r="L148" i="1"/>
  <c r="M148" i="1"/>
  <c r="O148" i="1"/>
  <c r="K149" i="1"/>
  <c r="L149" i="1"/>
  <c r="M149" i="1" s="1"/>
  <c r="K150" i="1"/>
  <c r="L150" i="1"/>
  <c r="M150" i="1"/>
  <c r="K151" i="1"/>
  <c r="L151" i="1"/>
  <c r="M151" i="1" s="1"/>
  <c r="K152" i="1"/>
  <c r="L152" i="1"/>
  <c r="M152" i="1"/>
  <c r="O152" i="1"/>
  <c r="K153" i="1"/>
  <c r="L153" i="1"/>
  <c r="M153" i="1" s="1"/>
  <c r="K154" i="1"/>
  <c r="L154" i="1"/>
  <c r="M154" i="1"/>
  <c r="K155" i="1"/>
  <c r="L155" i="1"/>
  <c r="M155" i="1" s="1"/>
  <c r="K156" i="1"/>
  <c r="L156" i="1"/>
  <c r="M156" i="1"/>
  <c r="K157" i="1"/>
  <c r="L157" i="1"/>
  <c r="M157" i="1" s="1"/>
  <c r="K158" i="1"/>
  <c r="L158" i="1"/>
  <c r="M158" i="1"/>
  <c r="K159" i="1"/>
  <c r="L159" i="1"/>
  <c r="M159" i="1" s="1"/>
  <c r="K160" i="1"/>
  <c r="L160" i="1"/>
  <c r="M160" i="1"/>
  <c r="K161" i="1"/>
  <c r="L161" i="1"/>
  <c r="M161" i="1" s="1"/>
  <c r="K162" i="1"/>
  <c r="L162" i="1"/>
  <c r="M162" i="1"/>
  <c r="K163" i="1"/>
  <c r="L163" i="1"/>
  <c r="M163" i="1" s="1"/>
  <c r="K164" i="1"/>
  <c r="L164" i="1"/>
  <c r="M164" i="1"/>
  <c r="K165" i="1"/>
  <c r="L165" i="1"/>
  <c r="M165" i="1" s="1"/>
  <c r="K166" i="1"/>
  <c r="L166" i="1"/>
  <c r="M166" i="1"/>
  <c r="K167" i="1"/>
  <c r="L167" i="1"/>
  <c r="M167" i="1" s="1"/>
  <c r="K168" i="1"/>
  <c r="L168" i="1"/>
  <c r="M168" i="1"/>
  <c r="K169" i="1"/>
  <c r="L169" i="1"/>
  <c r="M169" i="1" s="1"/>
  <c r="K170" i="1"/>
  <c r="L170" i="1"/>
  <c r="M170" i="1"/>
  <c r="K171" i="1"/>
  <c r="L171" i="1"/>
  <c r="M171" i="1" s="1"/>
  <c r="K172" i="1"/>
  <c r="L172" i="1"/>
  <c r="M172" i="1" s="1"/>
  <c r="K173" i="1"/>
  <c r="L173" i="1"/>
  <c r="M173" i="1" s="1"/>
  <c r="K174" i="1"/>
  <c r="L174" i="1"/>
  <c r="M174" i="1"/>
  <c r="K175" i="1"/>
  <c r="L175" i="1"/>
  <c r="M175" i="1" s="1"/>
  <c r="K176" i="1"/>
  <c r="L176" i="1"/>
  <c r="M176" i="1" s="1"/>
  <c r="K177" i="1"/>
  <c r="L177" i="1"/>
  <c r="M177" i="1" s="1"/>
  <c r="K178" i="1"/>
  <c r="L178" i="1"/>
  <c r="M178" i="1"/>
  <c r="K179" i="1"/>
  <c r="L179" i="1"/>
  <c r="M179" i="1" s="1"/>
  <c r="K180" i="1"/>
  <c r="L180" i="1"/>
  <c r="M180" i="1" s="1"/>
  <c r="K181" i="1"/>
  <c r="L181" i="1"/>
  <c r="M181" i="1" s="1"/>
  <c r="K182" i="1"/>
  <c r="L182" i="1"/>
  <c r="M182" i="1"/>
  <c r="K183" i="1"/>
  <c r="L183" i="1"/>
  <c r="M183" i="1" s="1"/>
  <c r="K184" i="1"/>
  <c r="L184" i="1"/>
  <c r="K185" i="1"/>
  <c r="L185" i="1"/>
  <c r="M185" i="1" s="1"/>
  <c r="K186" i="1"/>
  <c r="L186" i="1"/>
  <c r="M186" i="1"/>
  <c r="K187" i="1"/>
  <c r="L187" i="1"/>
  <c r="M187" i="1" s="1"/>
  <c r="K188" i="1"/>
  <c r="L188" i="1"/>
  <c r="K189" i="1"/>
  <c r="L189" i="1"/>
  <c r="M189" i="1" s="1"/>
  <c r="K190" i="1"/>
  <c r="L190" i="1"/>
  <c r="M190" i="1"/>
  <c r="K191" i="1"/>
  <c r="L191" i="1"/>
  <c r="M191" i="1" s="1"/>
  <c r="K192" i="1"/>
  <c r="L192" i="1"/>
  <c r="K193" i="1"/>
  <c r="L193" i="1"/>
  <c r="M193" i="1" s="1"/>
  <c r="K194" i="1"/>
  <c r="L194" i="1"/>
  <c r="M194" i="1"/>
  <c r="K195" i="1"/>
  <c r="L195" i="1"/>
  <c r="M195" i="1" s="1"/>
  <c r="K196" i="1"/>
  <c r="L196" i="1"/>
  <c r="M196" i="1" s="1"/>
  <c r="K197" i="1"/>
  <c r="L197" i="1"/>
  <c r="M197" i="1" s="1"/>
  <c r="K198" i="1"/>
  <c r="L198" i="1"/>
  <c r="M198" i="1"/>
  <c r="K199" i="1"/>
  <c r="L199" i="1"/>
  <c r="M199" i="1" s="1"/>
  <c r="K200" i="1"/>
  <c r="L200" i="1"/>
  <c r="M200" i="1" s="1"/>
  <c r="K201" i="1"/>
  <c r="L201" i="1"/>
  <c r="M201" i="1" s="1"/>
  <c r="K202" i="1"/>
  <c r="L202" i="1"/>
  <c r="M202" i="1"/>
  <c r="K203" i="1"/>
  <c r="L203" i="1"/>
  <c r="M203" i="1" s="1"/>
  <c r="K204" i="1"/>
  <c r="L204" i="1"/>
  <c r="M204" i="1" s="1"/>
  <c r="K205" i="1"/>
  <c r="L205" i="1"/>
  <c r="M205" i="1" s="1"/>
  <c r="K206" i="1"/>
  <c r="L206" i="1"/>
  <c r="M206" i="1"/>
  <c r="K207" i="1"/>
  <c r="L207" i="1"/>
  <c r="M207" i="1" s="1"/>
  <c r="K208" i="1"/>
  <c r="L208" i="1"/>
  <c r="M208" i="1" s="1"/>
  <c r="K209" i="1"/>
  <c r="L209" i="1"/>
  <c r="M209" i="1" s="1"/>
  <c r="K210" i="1"/>
  <c r="L210" i="1"/>
  <c r="M210" i="1"/>
  <c r="K211" i="1"/>
  <c r="L211" i="1"/>
  <c r="M211" i="1" s="1"/>
  <c r="K212" i="1"/>
  <c r="L212" i="1"/>
  <c r="M212" i="1" s="1"/>
  <c r="K213" i="1"/>
  <c r="L213" i="1"/>
  <c r="M213" i="1" s="1"/>
  <c r="K214" i="1"/>
  <c r="L214" i="1"/>
  <c r="M214" i="1"/>
  <c r="K215" i="1"/>
  <c r="L215" i="1"/>
  <c r="M215" i="1" s="1"/>
  <c r="K216" i="1"/>
  <c r="L216" i="1"/>
  <c r="M216" i="1"/>
  <c r="K217" i="1"/>
  <c r="L217" i="1"/>
  <c r="M217" i="1" s="1"/>
  <c r="K218" i="1"/>
  <c r="L218" i="1"/>
  <c r="M218" i="1"/>
  <c r="K219" i="1"/>
  <c r="L219" i="1"/>
  <c r="M219" i="1" s="1"/>
  <c r="K220" i="1"/>
  <c r="L220" i="1"/>
  <c r="M220" i="1"/>
  <c r="K221" i="1"/>
  <c r="L221" i="1"/>
  <c r="M221" i="1" s="1"/>
  <c r="K222" i="1"/>
  <c r="L222" i="1"/>
  <c r="M222" i="1"/>
  <c r="K223" i="1"/>
  <c r="L223" i="1"/>
  <c r="M223" i="1" s="1"/>
  <c r="K224" i="1"/>
  <c r="L224" i="1"/>
  <c r="M224" i="1"/>
  <c r="K225" i="1"/>
  <c r="L225" i="1"/>
  <c r="M225" i="1" s="1"/>
  <c r="K226" i="1"/>
  <c r="L226" i="1"/>
  <c r="M226" i="1"/>
  <c r="K227" i="1"/>
  <c r="L227" i="1"/>
  <c r="M227" i="1" s="1"/>
  <c r="K228" i="1"/>
  <c r="L228" i="1"/>
  <c r="M228" i="1"/>
  <c r="K229" i="1"/>
  <c r="L229" i="1"/>
  <c r="M229" i="1" s="1"/>
  <c r="K230" i="1"/>
  <c r="L230" i="1"/>
  <c r="M230" i="1"/>
  <c r="K231" i="1"/>
  <c r="L231" i="1"/>
  <c r="M231" i="1" s="1"/>
  <c r="K232" i="1"/>
  <c r="L232" i="1"/>
  <c r="M232" i="1"/>
  <c r="K233" i="1"/>
  <c r="L233" i="1"/>
  <c r="M233" i="1" s="1"/>
  <c r="K234" i="1"/>
  <c r="L234" i="1"/>
  <c r="M234" i="1"/>
  <c r="K235" i="1"/>
  <c r="L235" i="1"/>
  <c r="M235" i="1" s="1"/>
  <c r="K236" i="1"/>
  <c r="L236" i="1"/>
  <c r="M236" i="1"/>
  <c r="K237" i="1"/>
  <c r="L237" i="1"/>
  <c r="M237" i="1" s="1"/>
  <c r="K238" i="1"/>
  <c r="L238" i="1"/>
  <c r="M238" i="1"/>
  <c r="K239" i="1"/>
  <c r="L239" i="1"/>
  <c r="M239" i="1" s="1"/>
  <c r="K240" i="1"/>
  <c r="L240" i="1"/>
  <c r="M240" i="1"/>
  <c r="K241" i="1"/>
  <c r="L241" i="1"/>
  <c r="M241" i="1" s="1"/>
  <c r="M2" i="1"/>
  <c r="O154" i="1" l="1"/>
  <c r="O150" i="1"/>
  <c r="O138" i="1"/>
  <c r="O134" i="1"/>
  <c r="O130" i="1"/>
  <c r="O126" i="1"/>
  <c r="O122" i="1"/>
  <c r="O118" i="1"/>
  <c r="O114" i="1"/>
  <c r="O106" i="1"/>
  <c r="O102" i="1"/>
  <c r="O98" i="1"/>
  <c r="O94" i="1"/>
  <c r="O82" i="1"/>
  <c r="O78" i="1"/>
  <c r="O70" i="1"/>
  <c r="O66" i="1"/>
  <c r="O62" i="1"/>
  <c r="O58" i="1"/>
  <c r="O54" i="1"/>
  <c r="O50" i="1"/>
  <c r="O46" i="1"/>
  <c r="O38" i="1"/>
  <c r="O34" i="1"/>
  <c r="O26" i="1"/>
  <c r="O18" i="1"/>
  <c r="O10" i="1"/>
  <c r="O6" i="1"/>
  <c r="O142" i="1"/>
  <c r="O162" i="1"/>
  <c r="O238" i="1"/>
  <c r="O222" i="1"/>
  <c r="O230" i="1"/>
  <c r="O214" i="1"/>
  <c r="O158" i="1"/>
  <c r="O240" i="1"/>
  <c r="O232" i="1"/>
  <c r="O224" i="1"/>
  <c r="O216" i="1"/>
  <c r="O184" i="1"/>
  <c r="O188" i="1"/>
  <c r="O2" i="1"/>
  <c r="O234" i="1"/>
  <c r="O226" i="1"/>
  <c r="O218" i="1"/>
  <c r="O25" i="1"/>
  <c r="O174" i="1"/>
  <c r="O166" i="1"/>
  <c r="O236" i="1"/>
  <c r="O228" i="1"/>
  <c r="O220" i="1"/>
  <c r="O192" i="1"/>
  <c r="O170" i="1"/>
  <c r="O21" i="1"/>
  <c r="O19" i="1"/>
  <c r="O17" i="1"/>
  <c r="O15" i="1"/>
  <c r="O13" i="1"/>
  <c r="O11" i="1"/>
  <c r="O9" i="1"/>
  <c r="O7" i="1"/>
  <c r="O5" i="1"/>
  <c r="O206" i="1"/>
  <c r="O198" i="1"/>
  <c r="O211" i="1"/>
  <c r="O207" i="1"/>
  <c r="O203" i="1"/>
  <c r="O199" i="1"/>
  <c r="O195" i="1"/>
  <c r="M192" i="1"/>
  <c r="O191" i="1"/>
  <c r="M188" i="1"/>
  <c r="O187" i="1"/>
  <c r="M184" i="1"/>
  <c r="O183" i="1"/>
  <c r="O179" i="1"/>
  <c r="O175" i="1"/>
  <c r="O171" i="1"/>
  <c r="O167" i="1"/>
  <c r="O163" i="1"/>
  <c r="O159" i="1"/>
  <c r="O155" i="1"/>
  <c r="O151" i="1"/>
  <c r="O212" i="1"/>
  <c r="O208" i="1"/>
  <c r="O204" i="1"/>
  <c r="O200" i="1"/>
  <c r="O196" i="1"/>
  <c r="O180" i="1"/>
  <c r="O176" i="1"/>
  <c r="O172" i="1"/>
  <c r="O168" i="1"/>
  <c r="O164" i="1"/>
  <c r="O160" i="1"/>
  <c r="O210" i="1"/>
  <c r="O202" i="1"/>
  <c r="O194" i="1"/>
  <c r="O190" i="1"/>
  <c r="O186" i="1"/>
  <c r="O182" i="1"/>
  <c r="O178" i="1"/>
  <c r="O85" i="1"/>
  <c r="M85" i="1"/>
  <c r="O81" i="1"/>
  <c r="M81" i="1"/>
  <c r="O77" i="1"/>
  <c r="M77" i="1"/>
  <c r="O73" i="1"/>
  <c r="M73" i="1"/>
  <c r="O69" i="1"/>
  <c r="M69" i="1"/>
  <c r="O65" i="1"/>
  <c r="M65" i="1"/>
  <c r="O61" i="1"/>
  <c r="M61" i="1"/>
  <c r="O57" i="1"/>
  <c r="M57" i="1"/>
  <c r="O53" i="1"/>
  <c r="M53" i="1"/>
  <c r="O49" i="1"/>
  <c r="M49" i="1"/>
  <c r="O45" i="1"/>
  <c r="M45" i="1"/>
  <c r="O41" i="1"/>
  <c r="M41" i="1"/>
  <c r="O37" i="1"/>
  <c r="M37" i="1"/>
  <c r="O33" i="1"/>
  <c r="M33" i="1"/>
  <c r="O29" i="1"/>
  <c r="M29" i="1"/>
  <c r="O87" i="1"/>
  <c r="O83" i="1"/>
  <c r="O79" i="1"/>
  <c r="O75" i="1"/>
  <c r="O71" i="1"/>
  <c r="O67" i="1"/>
  <c r="O63" i="1"/>
  <c r="O59" i="1"/>
  <c r="O55" i="1"/>
  <c r="O51" i="1"/>
  <c r="O47" i="1"/>
  <c r="O43" i="1"/>
  <c r="O39" i="1"/>
  <c r="O35" i="1"/>
  <c r="O31" i="1"/>
  <c r="O27" i="1"/>
  <c r="O23" i="1"/>
  <c r="O84" i="1"/>
  <c r="O80" i="1"/>
  <c r="O76" i="1"/>
  <c r="O72" i="1"/>
  <c r="O68" i="1"/>
  <c r="O64" i="1"/>
  <c r="O60" i="1"/>
  <c r="O56" i="1"/>
  <c r="O52" i="1"/>
  <c r="O48" i="1"/>
  <c r="O44" i="1"/>
  <c r="O40" i="1"/>
  <c r="O36" i="1"/>
  <c r="O32" i="1"/>
  <c r="O28" i="1"/>
  <c r="O24" i="1"/>
  <c r="B3" i="6" l="1"/>
  <c r="F3" i="6"/>
</calcChain>
</file>

<file path=xl/sharedStrings.xml><?xml version="1.0" encoding="utf-8"?>
<sst xmlns="http://schemas.openxmlformats.org/spreadsheetml/2006/main" count="787" uniqueCount="77">
  <si>
    <t>Patient_ID</t>
  </si>
  <si>
    <t>Age</t>
  </si>
  <si>
    <t>Gender</t>
  </si>
  <si>
    <t>Department</t>
  </si>
  <si>
    <t>Admission_Date</t>
  </si>
  <si>
    <t>Discharge_Date</t>
  </si>
  <si>
    <t>Length_of_Stay</t>
  </si>
  <si>
    <t>Readmitted</t>
  </si>
  <si>
    <t>Total_Charges</t>
  </si>
  <si>
    <t>F</t>
  </si>
  <si>
    <t>er</t>
  </si>
  <si>
    <t>Yes</t>
  </si>
  <si>
    <t>M</t>
  </si>
  <si>
    <t>Cardiology</t>
  </si>
  <si>
    <t>No</t>
  </si>
  <si>
    <t>ER</t>
  </si>
  <si>
    <t>Pediatrics</t>
  </si>
  <si>
    <t>Orthopedics</t>
  </si>
  <si>
    <t xml:space="preserve"> Cardiology  </t>
  </si>
  <si>
    <t>neurology</t>
  </si>
  <si>
    <t>Neurology</t>
  </si>
  <si>
    <t>cardiology</t>
  </si>
  <si>
    <t>Oncology</t>
  </si>
  <si>
    <t xml:space="preserve"> Orthopedics  </t>
  </si>
  <si>
    <t>oncology</t>
  </si>
  <si>
    <t>pediatrics</t>
  </si>
  <si>
    <t>ORTHOPEDICS</t>
  </si>
  <si>
    <t xml:space="preserve"> Pediatrics  </t>
  </si>
  <si>
    <t xml:space="preserve"> Oncology  </t>
  </si>
  <si>
    <t>ONCOLOGY</t>
  </si>
  <si>
    <t>PEDIATRICS</t>
  </si>
  <si>
    <t>orthopedics</t>
  </si>
  <si>
    <t xml:space="preserve"> Neurology  </t>
  </si>
  <si>
    <t>NEUROLOGY</t>
  </si>
  <si>
    <t>Dept_Manager</t>
  </si>
  <si>
    <t>Avg_Target_LOS</t>
  </si>
  <si>
    <t>Dr. Smith</t>
  </si>
  <si>
    <t>Dr. Lee</t>
  </si>
  <si>
    <t>Dr. Patel</t>
  </si>
  <si>
    <t>Dr. Gomez</t>
  </si>
  <si>
    <t>Dr. Nguyen</t>
  </si>
  <si>
    <t>Dr. Johnson</t>
  </si>
  <si>
    <t>This workbook contains SYNTHETIC (fake) healthcare admissions data for portfolio practice.</t>
  </si>
  <si>
    <t>Goal: Build pivot tables, formulas (SUMIFS/COUNTIFS/AVERAGEIFS), and a dashboard.</t>
  </si>
  <si>
    <t>Data quality: Some rows have missing Total_Charges, Discharge_Date, or Length_of_Stay.</t>
  </si>
  <si>
    <t>Cleaning practice: Department field includes inconsistent casing and extra spaces.</t>
  </si>
  <si>
    <t>Suggested portfolio outputs:</t>
  </si>
  <si>
    <t>1) KPI cards: Total Admissions, Avg LOS, Readmission Rate, Total Charges (exclude blanks).</t>
  </si>
  <si>
    <t>2) Pivot: Department -&gt; Avg LOS, Total Charges, Count of Patients; add slicers.</t>
  </si>
  <si>
    <t>3) Chart: Avg LOS by Department; Trend: Admissions per month.</t>
  </si>
  <si>
    <t>4) Insights: 3 findings + 3 recommendations (healthcare operations angle).</t>
  </si>
  <si>
    <t>Grand Total</t>
  </si>
  <si>
    <t>Dept_Clean</t>
  </si>
  <si>
    <t>CARDIOLOGY</t>
  </si>
  <si>
    <t>Readmitted_Clean</t>
  </si>
  <si>
    <t>LOS_Calc</t>
  </si>
  <si>
    <t>LOS_Check</t>
  </si>
  <si>
    <t>Target_LOS</t>
  </si>
  <si>
    <t>LOS_Target_Flag</t>
  </si>
  <si>
    <t>Total Admissions</t>
  </si>
  <si>
    <t>Avg Length of Stay</t>
  </si>
  <si>
    <t>Readmission Rate</t>
  </si>
  <si>
    <t>Total Charges</t>
  </si>
  <si>
    <t>% Above Target LOS</t>
  </si>
  <si>
    <t>Healthcare Admissions Performance Dashboard</t>
  </si>
  <si>
    <t xml:space="preserve"> ORTHOPEDICS  </t>
  </si>
  <si>
    <t xml:space="preserve"> PEDIATRICS  </t>
  </si>
  <si>
    <t>Average LOS</t>
  </si>
  <si>
    <t>Admissions</t>
  </si>
  <si>
    <t>Departments</t>
  </si>
  <si>
    <t>Department's Performance</t>
  </si>
  <si>
    <t>Monthly Admissions Trend</t>
  </si>
  <si>
    <t>Jan</t>
  </si>
  <si>
    <t>Feb</t>
  </si>
  <si>
    <t>Mar</t>
  </si>
  <si>
    <t>2024</t>
  </si>
  <si>
    <t>Row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</si>
</sst>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10" x14ac:knownFonts="1">
    <font>
      <sz val="11"/>
      <color theme="1"/>
      <name val="Calibri"/>
      <family val="2"/>
      <scheme val="minor"/>
    </font>
    <font>
      <b/>
      <sz val="11"/>
      <name val="Calibri"/>
      <family val="2"/>
    </font>
    <font>
      <b/>
      <sz val="12"/>
      <name val="Calibri"/>
      <family val="2"/>
    </font>
    <font>
      <sz val="11"/>
      <color theme="1"/>
      <name val="Calibri"/>
      <family val="2"/>
      <scheme val="minor"/>
    </font>
    <font>
      <b/>
      <sz val="11"/>
      <color theme="1"/>
      <name val="Calibri"/>
      <family val="2"/>
      <scheme val="minor"/>
    </font>
    <font>
      <b/>
      <sz val="14"/>
      <color theme="1"/>
      <name val="Calibri"/>
      <family val="2"/>
      <scheme val="minor"/>
    </font>
    <font>
      <sz val="12"/>
      <color theme="1"/>
      <name val="Aptos"/>
    </font>
    <font>
      <b/>
      <sz val="16"/>
      <color theme="1"/>
      <name val="Calibri"/>
      <family val="2"/>
      <scheme val="minor"/>
    </font>
    <font>
      <b/>
      <sz val="14"/>
      <color theme="1"/>
      <name val="Aptos"/>
    </font>
    <font>
      <b/>
      <sz val="22"/>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9">
    <xf numFmtId="0" fontId="0" fillId="0" borderId="0" xfId="0"/>
    <xf numFmtId="0" fontId="1" fillId="0" borderId="0" xfId="0" applyFont="1" applyAlignment="1">
      <alignment horizontal="center"/>
    </xf>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4" fillId="0" borderId="0" xfId="0" applyFont="1"/>
    <xf numFmtId="9" fontId="0" fillId="0" borderId="0" xfId="2" applyFont="1"/>
    <xf numFmtId="0" fontId="6" fillId="0" borderId="0" xfId="0" applyFont="1" applyAlignment="1">
      <alignment vertical="center"/>
    </xf>
    <xf numFmtId="0" fontId="7" fillId="0" borderId="0" xfId="0" applyFont="1"/>
    <xf numFmtId="0" fontId="7" fillId="0" borderId="1" xfId="0" applyFont="1" applyBorder="1"/>
    <xf numFmtId="0" fontId="5" fillId="0" borderId="2" xfId="0" applyFont="1" applyBorder="1" applyAlignment="1">
      <alignment horizontal="center"/>
    </xf>
    <xf numFmtId="0" fontId="5" fillId="0" borderId="0" xfId="0" applyFont="1" applyAlignment="1">
      <alignment horizontal="center"/>
    </xf>
    <xf numFmtId="9" fontId="8" fillId="0" borderId="2" xfId="2" applyFont="1" applyBorder="1" applyAlignment="1">
      <alignment horizontal="center" vertical="center"/>
    </xf>
    <xf numFmtId="44" fontId="5" fillId="0" borderId="2" xfId="1" applyFont="1" applyBorder="1" applyAlignment="1">
      <alignment horizontal="center"/>
    </xf>
    <xf numFmtId="9" fontId="5" fillId="0" borderId="2" xfId="2" applyFont="1" applyBorder="1" applyAlignment="1">
      <alignment horizontal="center"/>
    </xf>
    <xf numFmtId="0" fontId="9" fillId="0" borderId="0" xfId="0" applyFont="1" applyAlignment="1">
      <alignment horizontal="left"/>
    </xf>
    <xf numFmtId="0" fontId="0" fillId="0" borderId="0" xfId="0" applyNumberFormat="1"/>
    <xf numFmtId="0" fontId="0" fillId="0" borderId="0" xfId="0" applyAlignment="1">
      <alignment horizontal="left" indent="1"/>
    </xf>
  </cellXfs>
  <cellStyles count="3">
    <cellStyle name="Currency" xfId="1" builtinId="4"/>
    <cellStyle name="Normal" xfId="0" builtinId="0"/>
    <cellStyle name="Percent" xfId="2" builtinId="5"/>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[Healthcare_Portfolio.xlsx]Pivot_Analysis!PivotTable3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 Charges</c:v>
                </c:pt>
              </c:strCache>
            </c:strRef>
          </c:tx>
          <c:spPr>
            <a:solidFill>
              <a:schemeClr val="accent1"/>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Pivot_Analysis!$B$4:$B$12</c:f>
              <c:numCache>
                <c:formatCode>General</c:formatCode>
                <c:ptCount val="8"/>
                <c:pt idx="0">
                  <c:v>57848</c:v>
                </c:pt>
                <c:pt idx="1">
                  <c:v>13619</c:v>
                </c:pt>
                <c:pt idx="2">
                  <c:v>552228</c:v>
                </c:pt>
                <c:pt idx="3">
                  <c:v>246661</c:v>
                </c:pt>
                <c:pt idx="4">
                  <c:v>459866</c:v>
                </c:pt>
                <c:pt idx="5">
                  <c:v>810345</c:v>
                </c:pt>
                <c:pt idx="6">
                  <c:v>783605</c:v>
                </c:pt>
                <c:pt idx="7">
                  <c:v>357384</c:v>
                </c:pt>
              </c:numCache>
            </c:numRef>
          </c:val>
          <c:extLst>
            <c:ext xmlns:c16="http://schemas.microsoft.com/office/drawing/2014/chart" uri="{C3380CC4-5D6E-409C-BE32-E72D297353CC}">
              <c16:uniqueId val="{00000000-CE99-BE4A-847E-9C5DE8365F03}"/>
            </c:ext>
          </c:extLst>
        </c:ser>
        <c:ser>
          <c:idx val="1"/>
          <c:order val="1"/>
          <c:tx>
            <c:strRef>
              <c:f>Pivot_Analysis!$C$3</c:f>
              <c:strCache>
                <c:ptCount val="1"/>
                <c:pt idx="0">
                  <c:v>Admissions</c:v>
                </c:pt>
              </c:strCache>
            </c:strRef>
          </c:tx>
          <c:spPr>
            <a:solidFill>
              <a:schemeClr val="accent2"/>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Pivot_Analysis!$C$4:$C$12</c:f>
              <c:numCache>
                <c:formatCode>General</c:formatCode>
                <c:ptCount val="8"/>
                <c:pt idx="0">
                  <c:v>3</c:v>
                </c:pt>
                <c:pt idx="1">
                  <c:v>2</c:v>
                </c:pt>
                <c:pt idx="2">
                  <c:v>34</c:v>
                </c:pt>
                <c:pt idx="3">
                  <c:v>51</c:v>
                </c:pt>
                <c:pt idx="4">
                  <c:v>22</c:v>
                </c:pt>
                <c:pt idx="5">
                  <c:v>36</c:v>
                </c:pt>
                <c:pt idx="6">
                  <c:v>43</c:v>
                </c:pt>
                <c:pt idx="7">
                  <c:v>43</c:v>
                </c:pt>
              </c:numCache>
            </c:numRef>
          </c:val>
          <c:extLst>
            <c:ext xmlns:c16="http://schemas.microsoft.com/office/drawing/2014/chart" uri="{C3380CC4-5D6E-409C-BE32-E72D297353CC}">
              <c16:uniqueId val="{00000001-CE99-BE4A-847E-9C5DE8365F03}"/>
            </c:ext>
          </c:extLst>
        </c:ser>
        <c:ser>
          <c:idx val="2"/>
          <c:order val="2"/>
          <c:tx>
            <c:strRef>
              <c:f>Pivot_Analysis!$D$3</c:f>
              <c:strCache>
                <c:ptCount val="1"/>
                <c:pt idx="0">
                  <c:v>Average LOS</c:v>
                </c:pt>
              </c:strCache>
            </c:strRef>
          </c:tx>
          <c:spPr>
            <a:solidFill>
              <a:schemeClr val="accent3"/>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Pivot_Analysis!$D$4:$D$12</c:f>
              <c:numCache>
                <c:formatCode>General</c:formatCode>
                <c:ptCount val="8"/>
                <c:pt idx="0">
                  <c:v>7</c:v>
                </c:pt>
                <c:pt idx="1">
                  <c:v>1.5</c:v>
                </c:pt>
                <c:pt idx="2">
                  <c:v>5.6969696969696972</c:v>
                </c:pt>
                <c:pt idx="3">
                  <c:v>1.653061224489796</c:v>
                </c:pt>
                <c:pt idx="4">
                  <c:v>7</c:v>
                </c:pt>
                <c:pt idx="5">
                  <c:v>8.4285714285714288</c:v>
                </c:pt>
                <c:pt idx="6">
                  <c:v>7.0465116279069768</c:v>
                </c:pt>
                <c:pt idx="7">
                  <c:v>2.9069767441860463</c:v>
                </c:pt>
              </c:numCache>
            </c:numRef>
          </c:val>
          <c:extLst>
            <c:ext xmlns:c16="http://schemas.microsoft.com/office/drawing/2014/chart" uri="{C3380CC4-5D6E-409C-BE32-E72D297353CC}">
              <c16:uniqueId val="{00000002-CE99-BE4A-847E-9C5DE8365F03}"/>
            </c:ext>
          </c:extLst>
        </c:ser>
        <c:dLbls>
          <c:showLegendKey val="0"/>
          <c:showVal val="0"/>
          <c:showCatName val="0"/>
          <c:showSerName val="0"/>
          <c:showPercent val="0"/>
          <c:showBubbleSize val="0"/>
        </c:dLbls>
        <c:gapWidth val="219"/>
        <c:overlap val="-27"/>
        <c:axId val="455497199"/>
        <c:axId val="455498911"/>
      </c:barChart>
      <c:catAx>
        <c:axId val="45549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98911"/>
        <c:crosses val="autoZero"/>
        <c:auto val="1"/>
        <c:lblAlgn val="ctr"/>
        <c:lblOffset val="100"/>
        <c:noMultiLvlLbl val="0"/>
      </c:catAx>
      <c:valAx>
        <c:axId val="45549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9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[Healthcare_Portfolio.xlsx]Pivot_Analysis!PivotTable3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Length of Stay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 Charges</c:v>
                </c:pt>
              </c:strCache>
            </c:strRef>
          </c:tx>
          <c:spPr>
            <a:solidFill>
              <a:schemeClr val="accent1"/>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Pivot_Analysis!$B$4:$B$12</c:f>
              <c:numCache>
                <c:formatCode>General</c:formatCode>
                <c:ptCount val="8"/>
                <c:pt idx="0">
                  <c:v>57848</c:v>
                </c:pt>
                <c:pt idx="1">
                  <c:v>13619</c:v>
                </c:pt>
                <c:pt idx="2">
                  <c:v>552228</c:v>
                </c:pt>
                <c:pt idx="3">
                  <c:v>246661</c:v>
                </c:pt>
                <c:pt idx="4">
                  <c:v>459866</c:v>
                </c:pt>
                <c:pt idx="5">
                  <c:v>810345</c:v>
                </c:pt>
                <c:pt idx="6">
                  <c:v>783605</c:v>
                </c:pt>
                <c:pt idx="7">
                  <c:v>357384</c:v>
                </c:pt>
              </c:numCache>
            </c:numRef>
          </c:val>
          <c:extLst>
            <c:ext xmlns:c16="http://schemas.microsoft.com/office/drawing/2014/chart" uri="{C3380CC4-5D6E-409C-BE32-E72D297353CC}">
              <c16:uniqueId val="{00000000-B96C-A84A-A6BE-2133B06A5058}"/>
            </c:ext>
          </c:extLst>
        </c:ser>
        <c:ser>
          <c:idx val="1"/>
          <c:order val="1"/>
          <c:tx>
            <c:strRef>
              <c:f>Pivot_Analysis!$C$3</c:f>
              <c:strCache>
                <c:ptCount val="1"/>
                <c:pt idx="0">
                  <c:v>Admissions</c:v>
                </c:pt>
              </c:strCache>
            </c:strRef>
          </c:tx>
          <c:spPr>
            <a:solidFill>
              <a:schemeClr val="accent2"/>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Pivot_Analysis!$C$4:$C$12</c:f>
              <c:numCache>
                <c:formatCode>General</c:formatCode>
                <c:ptCount val="8"/>
                <c:pt idx="0">
                  <c:v>3</c:v>
                </c:pt>
                <c:pt idx="1">
                  <c:v>2</c:v>
                </c:pt>
                <c:pt idx="2">
                  <c:v>34</c:v>
                </c:pt>
                <c:pt idx="3">
                  <c:v>51</c:v>
                </c:pt>
                <c:pt idx="4">
                  <c:v>22</c:v>
                </c:pt>
                <c:pt idx="5">
                  <c:v>36</c:v>
                </c:pt>
                <c:pt idx="6">
                  <c:v>43</c:v>
                </c:pt>
                <c:pt idx="7">
                  <c:v>43</c:v>
                </c:pt>
              </c:numCache>
            </c:numRef>
          </c:val>
          <c:extLst>
            <c:ext xmlns:c16="http://schemas.microsoft.com/office/drawing/2014/chart" uri="{C3380CC4-5D6E-409C-BE32-E72D297353CC}">
              <c16:uniqueId val="{00000001-B96C-A84A-A6BE-2133B06A5058}"/>
            </c:ext>
          </c:extLst>
        </c:ser>
        <c:ser>
          <c:idx val="2"/>
          <c:order val="2"/>
          <c:tx>
            <c:strRef>
              <c:f>Pivot_Analysis!$D$3</c:f>
              <c:strCache>
                <c:ptCount val="1"/>
                <c:pt idx="0">
                  <c:v>Average LOS</c:v>
                </c:pt>
              </c:strCache>
            </c:strRef>
          </c:tx>
          <c:spPr>
            <a:solidFill>
              <a:schemeClr val="accent3"/>
            </a:solidFill>
            <a:ln>
              <a:noFill/>
            </a:ln>
            <a:effectLst/>
          </c:spPr>
          <c:invertIfNegative val="0"/>
          <c:cat>
            <c:strRef>
              <c:f>Pivot_Analysis!$A$4:$A$12</c:f>
              <c:strCache>
                <c:ptCount val="8"/>
                <c:pt idx="0">
                  <c:v> ORTHOPEDICS  </c:v>
                </c:pt>
                <c:pt idx="1">
                  <c:v> PEDIATRICS  </c:v>
                </c:pt>
                <c:pt idx="2">
                  <c:v>CARDIOLOGY</c:v>
                </c:pt>
                <c:pt idx="3">
                  <c:v>ER</c:v>
                </c:pt>
                <c:pt idx="4">
                  <c:v>NEUROLOGY</c:v>
                </c:pt>
                <c:pt idx="5">
                  <c:v>ONCOLOGY</c:v>
                </c:pt>
                <c:pt idx="6">
                  <c:v>ORTHOPEDICS</c:v>
                </c:pt>
                <c:pt idx="7">
                  <c:v>PEDIATRICS</c:v>
                </c:pt>
              </c:strCache>
            </c:strRef>
          </c:cat>
          <c:val>
            <c:numRef>
              <c:f>Pivot_Analysis!$D$4:$D$12</c:f>
              <c:numCache>
                <c:formatCode>General</c:formatCode>
                <c:ptCount val="8"/>
                <c:pt idx="0">
                  <c:v>7</c:v>
                </c:pt>
                <c:pt idx="1">
                  <c:v>1.5</c:v>
                </c:pt>
                <c:pt idx="2">
                  <c:v>5.6969696969696972</c:v>
                </c:pt>
                <c:pt idx="3">
                  <c:v>1.653061224489796</c:v>
                </c:pt>
                <c:pt idx="4">
                  <c:v>7</c:v>
                </c:pt>
                <c:pt idx="5">
                  <c:v>8.4285714285714288</c:v>
                </c:pt>
                <c:pt idx="6">
                  <c:v>7.0465116279069768</c:v>
                </c:pt>
                <c:pt idx="7">
                  <c:v>2.9069767441860463</c:v>
                </c:pt>
              </c:numCache>
            </c:numRef>
          </c:val>
          <c:extLst>
            <c:ext xmlns:c16="http://schemas.microsoft.com/office/drawing/2014/chart" uri="{C3380CC4-5D6E-409C-BE32-E72D297353CC}">
              <c16:uniqueId val="{00000002-B96C-A84A-A6BE-2133B06A5058}"/>
            </c:ext>
          </c:extLst>
        </c:ser>
        <c:dLbls>
          <c:showLegendKey val="0"/>
          <c:showVal val="0"/>
          <c:showCatName val="0"/>
          <c:showSerName val="0"/>
          <c:showPercent val="0"/>
          <c:showBubbleSize val="0"/>
        </c:dLbls>
        <c:gapWidth val="182"/>
        <c:axId val="1017357887"/>
        <c:axId val="430543183"/>
      </c:barChart>
      <c:catAx>
        <c:axId val="101735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543183"/>
        <c:crosses val="autoZero"/>
        <c:auto val="1"/>
        <c:lblAlgn val="ctr"/>
        <c:lblOffset val="100"/>
        <c:noMultiLvlLbl val="0"/>
      </c:catAx>
      <c:valAx>
        <c:axId val="43054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5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[Healthcare_Portfolio.xlsx]Pivot_Analysis!PivotTable4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Admission Trend (Jan-Mar 2024)</a:t>
            </a:r>
            <a:endParaRPr lang="en-US"/>
          </a:p>
        </c:rich>
      </c:tx>
      <c:layout>
        <c:manualLayout>
          <c:xMode val="edge"/>
          <c:yMode val="edge"/>
          <c:x val="0.1261804461942257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Pivot_Analysis!$B$23</c:f>
              <c:strCache>
                <c:ptCount val="1"/>
                <c:pt idx="0">
                  <c:v>Total</c:v>
                </c:pt>
              </c:strCache>
            </c:strRef>
          </c:tx>
          <c:spPr>
            <a:ln w="28575" cap="rnd">
              <a:solidFill>
                <a:schemeClr val="accent1"/>
              </a:solidFill>
              <a:round/>
            </a:ln>
            <a:effectLst/>
          </c:spPr>
          <c:marker>
            <c:symbol val="none"/>
          </c:marker>
          <c:cat>
            <c:multiLvlStrRef>
              <c:f>Pivot_Analysis!$A$24:$A$28</c:f>
              <c:multiLvlStrCache>
                <c:ptCount val="3"/>
                <c:lvl>
                  <c:pt idx="0">
                    <c:v>Jan</c:v>
                  </c:pt>
                  <c:pt idx="1">
                    <c:v>Feb</c:v>
                  </c:pt>
                  <c:pt idx="2">
                    <c:v>Mar</c:v>
                  </c:pt>
                </c:lvl>
                <c:lvl>
                  <c:pt idx="0">
                    <c:v>2024</c:v>
                  </c:pt>
                </c:lvl>
              </c:multiLvlStrCache>
            </c:multiLvlStrRef>
          </c:cat>
          <c:val>
            <c:numRef>
              <c:f>Pivot_Analysis!$B$24:$B$28</c:f>
              <c:numCache>
                <c:formatCode>General</c:formatCode>
                <c:ptCount val="3"/>
                <c:pt idx="0">
                  <c:v>94</c:v>
                </c:pt>
                <c:pt idx="1">
                  <c:v>72</c:v>
                </c:pt>
                <c:pt idx="2">
                  <c:v>74</c:v>
                </c:pt>
              </c:numCache>
            </c:numRef>
          </c:val>
          <c:smooth val="0"/>
          <c:extLst>
            <c:ext xmlns:c16="http://schemas.microsoft.com/office/drawing/2014/chart" uri="{C3380CC4-5D6E-409C-BE32-E72D297353CC}">
              <c16:uniqueId val="{00000000-2207-4846-833B-FA5ABE92D7D6}"/>
            </c:ext>
          </c:extLst>
        </c:ser>
        <c:dLbls>
          <c:showLegendKey val="0"/>
          <c:showVal val="0"/>
          <c:showCatName val="0"/>
          <c:showSerName val="0"/>
          <c:showPercent val="0"/>
          <c:showBubbleSize val="0"/>
        </c:dLbls>
        <c:smooth val="0"/>
        <c:axId val="455816335"/>
        <c:axId val="499146575"/>
      </c:lineChart>
      <c:catAx>
        <c:axId val="45581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46575"/>
        <c:crosses val="autoZero"/>
        <c:auto val="1"/>
        <c:lblAlgn val="ctr"/>
        <c:lblOffset val="100"/>
        <c:noMultiLvlLbl val="0"/>
      </c:catAx>
      <c:valAx>
        <c:axId val="49914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1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158750</xdr:colOff>
      <xdr:row>5</xdr:row>
      <xdr:rowOff>50800</xdr:rowOff>
    </xdr:from>
    <xdr:to>
      <xdr:col>3</xdr:col>
      <xdr:colOff>368300</xdr:colOff>
      <xdr:row>19</xdr:row>
      <xdr:rowOff>133350</xdr:rowOff>
    </xdr:to>
    <xdr:graphicFrame macro="">
      <xdr:nvGraphicFramePr>
        <xdr:cNvPr id="2" name="Chart 3">
          <a:extLst>
            <a:ext uri="{FF2B5EF4-FFF2-40B4-BE49-F238E27FC236}">
              <a16:creationId xmlns:a16="http://schemas.microsoft.com/office/drawing/2014/main" id="{87B31FF4-8C28-B733-4B7B-6A903DE54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1117600</xdr:colOff>
      <xdr:row>4</xdr:row>
      <xdr:rowOff>95250</xdr:rowOff>
    </xdr:from>
    <xdr:to>
      <xdr:col>12</xdr:col>
      <xdr:colOff>38100</xdr:colOff>
      <xdr:row>18</xdr:row>
      <xdr:rowOff>171450</xdr:rowOff>
    </xdr:to>
    <xdr:graphicFrame macro="">
      <xdr:nvGraphicFramePr>
        <xdr:cNvPr id="3" name="Chart 4">
          <a:extLst>
            <a:ext uri="{FF2B5EF4-FFF2-40B4-BE49-F238E27FC236}">
              <a16:creationId xmlns:a16="http://schemas.microsoft.com/office/drawing/2014/main" id="{F22D6C7F-99DE-FD58-C8B2-3609D78F0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88900</xdr:colOff>
      <xdr:row>22</xdr:row>
      <xdr:rowOff>133350</xdr:rowOff>
    </xdr:from>
    <xdr:to>
      <xdr:col>4</xdr:col>
      <xdr:colOff>444500</xdr:colOff>
      <xdr:row>37</xdr:row>
      <xdr:rowOff>19050</xdr:rowOff>
    </xdr:to>
    <xdr:graphicFrame macro="">
      <xdr:nvGraphicFramePr>
        <xdr:cNvPr id="4" name="Chart 5">
          <a:extLst>
            <a:ext uri="{FF2B5EF4-FFF2-40B4-BE49-F238E27FC236}">
              <a16:creationId xmlns:a16="http://schemas.microsoft.com/office/drawing/2014/main" id="{30C67D25-CC69-519D-39A3-B8F89609F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1257300</xdr:colOff>
      <xdr:row>5</xdr:row>
      <xdr:rowOff>101600</xdr:rowOff>
    </xdr:from>
    <xdr:to>
      <xdr:col>5</xdr:col>
      <xdr:colOff>431800</xdr:colOff>
      <xdr:row>18</xdr:row>
      <xdr:rowOff>53969</xdr:rowOff>
    </xdr:to>
    <mc:AlternateContent xmlns:mc="http://schemas.openxmlformats.org/markup-compatibility/2006">
      <mc:Choice xmlns:a14="http://schemas.microsoft.com/office/drawing/2010/main" Requires="a14">
        <xdr:graphicFrame macro="">
          <xdr:nvGraphicFramePr>
            <xdr:cNvPr id="5" name="Dept_Clean">
              <a:extLst>
                <a:ext uri="{FF2B5EF4-FFF2-40B4-BE49-F238E27FC236}">
                  <a16:creationId xmlns:a16="http://schemas.microsoft.com/office/drawing/2014/main" id="{0D2240BE-0102-7441-A4C1-80C34F9D21E0}"/>
                </a:ext>
              </a:extLst>
            </xdr:cNvPr>
            <xdr:cNvGraphicFramePr/>
          </xdr:nvGraphicFramePr>
          <xdr:xfrm>
            <a:off x="0" y="0"/>
            <a:ext cx="0" cy="0"/>
          </xdr:xfrm>
          <a:graphic>
            <a:graphicData uri="http://schemas.microsoft.com/office/drawing/2010/slicer">
              <sle:slicer xmlns:sle="http://schemas.microsoft.com/office/drawing/2010/slicer" name="Dept_Clean"/>
            </a:graphicData>
          </a:graphic>
        </xdr:graphicFrame>
      </mc:Choice>
      <mc:Fallback>
        <xdr:sp macro="" textlink="">
          <xdr:nvSpPr>
            <xdr:cNvPr id="0" name=""/>
            <xdr:cNvSpPr>
              <a:spLocks noTextEdit="1"/>
            </xdr:cNvSpPr>
          </xdr:nvSpPr>
          <xdr:spPr>
            <a:xfrm>
              <a:off x="4470400" y="1371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1130300</xdr:colOff>
      <xdr:row>7</xdr:row>
      <xdr:rowOff>139701</xdr:rowOff>
    </xdr:from>
    <xdr:to>
      <xdr:col>7</xdr:col>
      <xdr:colOff>419100</xdr:colOff>
      <xdr:row>15</xdr:row>
      <xdr:rowOff>101601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4FF7341C-8D3C-A94E-9723-119F300BB0A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97700" y="179070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1117600</xdr:colOff>
      <xdr:row>21</xdr:row>
      <xdr:rowOff>38100</xdr:rowOff>
    </xdr:from>
    <xdr:ext cx="5651500" cy="3454400"/>
    <xdr:sp macro="" textlink="">
      <xdr:nvSpPr>
        <xdr:cNvPr id="7" name="TextBox 6">
          <a:extLst>
            <a:ext uri="{FF2B5EF4-FFF2-40B4-BE49-F238E27FC236}">
              <a16:creationId xmlns:a16="http://schemas.microsoft.com/office/drawing/2014/main" id="{0BE44D64-B0DD-ABC8-0BA0-5E217B882DAE}"/>
            </a:ext>
          </a:extLst>
        </xdr:cNvPr>
        <xdr:cNvSpPr txBox="1"/>
      </xdr:nvSpPr>
      <xdr:spPr>
        <a:xfrm>
          <a:off x="6985000" y="4356100"/>
          <a:ext cx="5651500" cy="345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150000"/>
            </a:lnSpc>
          </a:pPr>
          <a:r>
            <a:rPr lang="en-US" sz="1400" b="1"/>
            <a:t>Key Insights</a:t>
          </a:r>
        </a:p>
        <a:p>
          <a:pPr marL="285750" indent="-285750">
            <a:lnSpc>
              <a:spcPct val="150000"/>
            </a:lnSpc>
            <a:buFont typeface="Arial" panose="020B0604020202020204" pitchFamily="34" charset="0"/>
            <a:buChar char="•"/>
          </a:pPr>
          <a:r>
            <a:rPr lang="en-US" sz="1400"/>
            <a:t>ER shows the </a:t>
          </a:r>
          <a:r>
            <a:rPr lang="en-US" sz="1400" b="1"/>
            <a:t>shortest LOS</a:t>
          </a:r>
          <a:r>
            <a:rPr lang="en-US" sz="1400"/>
            <a:t> but high admission volume</a:t>
          </a:r>
        </a:p>
        <a:p>
          <a:pPr marL="285750" indent="-285750">
            <a:lnSpc>
              <a:spcPct val="150000"/>
            </a:lnSpc>
            <a:buFont typeface="Arial" panose="020B0604020202020204" pitchFamily="34" charset="0"/>
            <a:buChar char="•"/>
          </a:pPr>
          <a:r>
            <a:rPr lang="en-US" sz="1400"/>
            <a:t>Cardiology &amp; Neurology have </a:t>
          </a:r>
          <a:r>
            <a:rPr lang="en-US" sz="1400" b="1"/>
            <a:t>higher-than-target LOS</a:t>
          </a:r>
          <a:endParaRPr lang="en-US" sz="1400"/>
        </a:p>
        <a:p>
          <a:pPr marL="285750" indent="-285750">
            <a:lnSpc>
              <a:spcPct val="150000"/>
            </a:lnSpc>
            <a:buFont typeface="Arial" panose="020B0604020202020204" pitchFamily="34" charset="0"/>
            <a:buChar char="•"/>
          </a:pPr>
          <a:r>
            <a:rPr lang="en-US" sz="1400"/>
            <a:t>Readmission rate (22%) indicates </a:t>
          </a:r>
          <a:r>
            <a:rPr lang="en-US" sz="1400" b="1"/>
            <a:t>post-discharge improvement opportunity</a:t>
          </a:r>
          <a:endParaRPr lang="en-US" sz="1400" b="0"/>
        </a:p>
        <a:p>
          <a:pPr marL="0" indent="0">
            <a:lnSpc>
              <a:spcPct val="150000"/>
            </a:lnSpc>
            <a:buFontTx/>
            <a:buNone/>
          </a:pPr>
          <a:r>
            <a:rPr lang="en-US" sz="1400" b="1"/>
            <a:t> Recommendations</a:t>
          </a:r>
        </a:p>
        <a:p>
          <a:pPr marL="285750" indent="-285750">
            <a:lnSpc>
              <a:spcPct val="150000"/>
            </a:lnSpc>
            <a:buFont typeface="Arial" panose="020B0604020202020204" pitchFamily="34" charset="0"/>
            <a:buChar char="•"/>
          </a:pPr>
          <a:r>
            <a:rPr lang="en-US" sz="1400"/>
            <a:t>Review discharge workflows in high-LOS departments</a:t>
          </a:r>
        </a:p>
        <a:p>
          <a:pPr marL="285750" indent="-285750">
            <a:lnSpc>
              <a:spcPct val="150000"/>
            </a:lnSpc>
            <a:buFont typeface="Arial" panose="020B0604020202020204" pitchFamily="34" charset="0"/>
            <a:buChar char="•"/>
          </a:pPr>
          <a:r>
            <a:rPr lang="en-US" sz="1400"/>
            <a:t>Expand post-discharge follow-ups to reduce readmissions</a:t>
          </a:r>
        </a:p>
        <a:p>
          <a:pPr marL="285750" indent="-285750">
            <a:lnSpc>
              <a:spcPct val="150000"/>
            </a:lnSpc>
            <a:buFont typeface="Arial" panose="020B0604020202020204" pitchFamily="34" charset="0"/>
            <a:buChar char="•"/>
          </a:pPr>
          <a:r>
            <a:rPr lang="en-US" sz="1400"/>
            <a:t>Monitor LOS vs targets weekly using this dashboard</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hra, Krishna P" refreshedDate="46042.539336458336" createdVersion="8" refreshedVersion="8" minRefreshableVersion="3" recordCount="240" xr:uid="{726A8E03-BFB6-D941-9247-7B8DFBD539C2}">
  <cacheSource type="worksheet">
    <worksheetSource ref="A1:O241" sheet="Patient_Admissions"/>
  </cacheSource>
  <cacheFields count="17">
    <cacheField name="Patient_ID" numFmtId="0">
      <sharedItems containsSemiMixedTypes="0" containsString="0" containsNumber="1" containsInteger="1" minValue="2001" maxValue="2240"/>
    </cacheField>
    <cacheField name="Age" numFmtId="0">
      <sharedItems containsSemiMixedTypes="0" containsString="0" containsNumber="1" containsInteger="1" minValue="1" maxValue="89"/>
    </cacheField>
    <cacheField name="Gender" numFmtId="0">
      <sharedItems count="2">
        <s v="F"/>
        <s v="M"/>
      </sharedItems>
    </cacheField>
    <cacheField name="Department" numFmtId="0">
      <sharedItems/>
    </cacheField>
    <cacheField name="Admission_Date" numFmtId="164">
      <sharedItems containsSemiMixedTypes="0" containsNonDate="0" containsDate="1" containsString="0" minDate="2024-01-01T00:00:00" maxDate="2024-03-31T00:00:00" count="83">
        <d v="2024-03-24T00:00:00"/>
        <d v="2024-01-31T00:00:00"/>
        <d v="2024-01-29T00:00:00"/>
        <d v="2024-03-15T00:00:00"/>
        <d v="2024-02-27T00:00:00"/>
        <d v="2024-01-10T00:00:00"/>
        <d v="2024-03-30T00:00:00"/>
        <d v="2024-02-29T00:00:00"/>
        <d v="2024-01-22T00:00:00"/>
        <d v="2024-01-20T00:00:00"/>
        <d v="2024-03-09T00:00:00"/>
        <d v="2024-03-12T00:00:00"/>
        <d v="2024-02-13T00:00:00"/>
        <d v="2024-03-22T00:00:00"/>
        <d v="2024-01-11T00:00:00"/>
        <d v="2024-03-29T00:00:00"/>
        <d v="2024-01-30T00:00:00"/>
        <d v="2024-02-14T00:00:00"/>
        <d v="2024-03-16T00:00:00"/>
        <d v="2024-01-02T00:00:00"/>
        <d v="2024-01-17T00:00:00"/>
        <d v="2024-03-01T00:00:00"/>
        <d v="2024-01-25T00:00:00"/>
        <d v="2024-02-05T00:00:00"/>
        <d v="2024-01-18T00:00:00"/>
        <d v="2024-03-23T00:00:00"/>
        <d v="2024-02-25T00:00:00"/>
        <d v="2024-01-03T00:00:00"/>
        <d v="2024-02-04T00:00:00"/>
        <d v="2024-01-12T00:00:00"/>
        <d v="2024-01-27T00:00:00"/>
        <d v="2024-01-28T00:00:00"/>
        <d v="2024-01-21T00:00:00"/>
        <d v="2024-01-24T00:00:00"/>
        <d v="2024-01-19T00:00:00"/>
        <d v="2024-03-04T00:00:00"/>
        <d v="2024-03-05T00:00:00"/>
        <d v="2024-01-04T00:00:00"/>
        <d v="2024-02-03T00:00:00"/>
        <d v="2024-03-19T00:00:00"/>
        <d v="2024-03-03T00:00:00"/>
        <d v="2024-03-11T00:00:00"/>
        <d v="2024-02-16T00:00:00"/>
        <d v="2024-02-07T00:00:00"/>
        <d v="2024-01-14T00:00:00"/>
        <d v="2024-02-06T00:00:00"/>
        <d v="2024-02-12T00:00:00"/>
        <d v="2024-01-26T00:00:00"/>
        <d v="2024-03-14T00:00:00"/>
        <d v="2024-02-02T00:00:00"/>
        <d v="2024-02-22T00:00:00"/>
        <d v="2024-01-07T00:00:00"/>
        <d v="2024-01-01T00:00:00"/>
        <d v="2024-02-01T00:00:00"/>
        <d v="2024-02-11T00:00:00"/>
        <d v="2024-02-20T00:00:00"/>
        <d v="2024-02-21T00:00:00"/>
        <d v="2024-01-06T00:00:00"/>
        <d v="2024-03-21T00:00:00"/>
        <d v="2024-03-06T00:00:00"/>
        <d v="2024-02-17T00:00:00"/>
        <d v="2024-03-07T00:00:00"/>
        <d v="2024-02-15T00:00:00"/>
        <d v="2024-03-02T00:00:00"/>
        <d v="2024-02-19T00:00:00"/>
        <d v="2024-03-08T00:00:00"/>
        <d v="2024-01-13T00:00:00"/>
        <d v="2024-02-08T00:00:00"/>
        <d v="2024-03-26T00:00:00"/>
        <d v="2024-02-18T00:00:00"/>
        <d v="2024-03-10T00:00:00"/>
        <d v="2024-01-23T00:00:00"/>
        <d v="2024-01-05T00:00:00"/>
        <d v="2024-03-18T00:00:00"/>
        <d v="2024-02-28T00:00:00"/>
        <d v="2024-01-08T00:00:00"/>
        <d v="2024-01-16T00:00:00"/>
        <d v="2024-03-20T00:00:00"/>
        <d v="2024-02-09T00:00:00"/>
        <d v="2024-03-25T00:00:00"/>
        <d v="2024-02-23T00:00:00"/>
        <d v="2024-03-13T00:00:00"/>
        <d v="2024-03-28T00:00:00"/>
      </sharedItems>
      <fieldGroup par="16"/>
    </cacheField>
    <cacheField name="Discharge_Date" numFmtId="0">
      <sharedItems containsNonDate="0" containsDate="1" containsString="0" containsBlank="1" minDate="2024-01-03T00:00:00" maxDate="2024-04-11T00:00:00"/>
    </cacheField>
    <cacheField name="Length_of_Stay" numFmtId="0">
      <sharedItems containsString="0" containsBlank="1" containsNumber="1" containsInteger="1" minValue="1" maxValue="15"/>
    </cacheField>
    <cacheField name="Readmitted" numFmtId="0">
      <sharedItems/>
    </cacheField>
    <cacheField name="Total_Charges" numFmtId="0">
      <sharedItems containsString="0" containsBlank="1" containsNumber="1" containsInteger="1" minValue="3074" maxValue="38312"/>
    </cacheField>
    <cacheField name="Dept_Clean" numFmtId="0">
      <sharedItems count="11">
        <s v="ER"/>
        <s v="CARDIOLOGY"/>
        <s v="PEDIATRICS"/>
        <s v="ORTHOPEDICS"/>
        <s v=" CARDIOLOGY  "/>
        <s v="NEUROLOGY"/>
        <s v="ONCOLOGY"/>
        <s v=" ORTHOPEDICS  "/>
        <s v=" PEDIATRICS  "/>
        <s v=" ONCOLOGY  "/>
        <s v=" NEUROLOGY  "/>
      </sharedItems>
    </cacheField>
    <cacheField name="Readmitted_Clean" numFmtId="0">
      <sharedItems/>
    </cacheField>
    <cacheField name="LOS_Calc" numFmtId="0">
      <sharedItems containsMixedTypes="1" containsNumber="1" containsInteger="1" minValue="1" maxValue="15" count="16">
        <n v="1"/>
        <n v="3"/>
        <n v="2"/>
        <n v="5"/>
        <n v="7"/>
        <n v="9"/>
        <n v="4"/>
        <n v="6"/>
        <n v="10"/>
        <n v="11"/>
        <s v=""/>
        <n v="14"/>
        <n v="8"/>
        <n v="12"/>
        <n v="15"/>
        <n v="13"/>
      </sharedItems>
    </cacheField>
    <cacheField name="LOS_Check" numFmtId="0">
      <sharedItems/>
    </cacheField>
    <cacheField name="Target_LOS" numFmtId="0">
      <sharedItems containsSemiMixedTypes="0" containsString="0" containsNumber="1" containsInteger="1" minValue="2" maxValue="7"/>
    </cacheField>
    <cacheField name="LOS_Target_Flag" numFmtId="0">
      <sharedItems/>
    </cacheField>
    <cacheField name="Months (Admission_Date)" numFmtId="0" databaseField="0">
      <fieldGroup base="4">
        <rangePr groupBy="months" startDate="2024-01-01T00:00:00" endDate="2024-03-31T00:00:00"/>
        <groupItems count="14">
          <s v="&lt;1/1/24"/>
          <s v="Jan"/>
          <s v="Feb"/>
          <s v="Mar"/>
          <s v="Apr"/>
          <s v="May"/>
          <s v="Jun"/>
          <s v="Jul"/>
          <s v="Aug"/>
          <s v="Sep"/>
          <s v="Oct"/>
          <s v="Nov"/>
          <s v="Dec"/>
          <s v="&gt;3/31/24"/>
        </groupItems>
      </fieldGroup>
    </cacheField>
    <cacheField name="Years (Admission_Date)" numFmtId="0" databaseField="0">
      <fieldGroup base="4">
        <rangePr groupBy="years" startDate="2024-01-01T00:00:00" endDate="2024-03-31T00:00:00"/>
        <groupItems count="3">
          <s v="&lt;1/1/24"/>
          <s v="2024"/>
          <s v="&gt;3/31/24"/>
        </groupItems>
      </fieldGroup>
    </cacheField>
  </cacheFields>
  <extLst>
    <ext xmlns:x14="http://schemas.microsoft.com/office/spreadsheetml/2009/9/main" uri="{725AE2AE-9491-48be-B2B4-4EB974FC3084}">
      <x14:pivotCacheDefinition pivotCacheId="2091645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2001"/>
    <n v="42"/>
    <x v="0"/>
    <s v="er"/>
    <x v="0"/>
    <d v="2024-03-25T00:00:00"/>
    <n v="1"/>
    <s v="Yes"/>
    <n v="3889"/>
    <x v="0"/>
    <s v="YES"/>
    <x v="0"/>
    <s v="Match"/>
    <n v="2"/>
    <s v="Within Target"/>
  </r>
  <r>
    <n v="2002"/>
    <n v="56"/>
    <x v="1"/>
    <s v="Cardiology"/>
    <x v="1"/>
    <d v="2024-02-03T00:00:00"/>
    <n v="3"/>
    <s v="No"/>
    <n v="12956"/>
    <x v="1"/>
    <s v="NO"/>
    <x v="1"/>
    <s v="Match"/>
    <n v="5"/>
    <s v="Within Target"/>
  </r>
  <r>
    <n v="2003"/>
    <n v="8"/>
    <x v="1"/>
    <s v="Cardiology"/>
    <x v="2"/>
    <d v="2024-01-31T00:00:00"/>
    <n v="2"/>
    <s v="No"/>
    <n v="11137"/>
    <x v="1"/>
    <s v="NO"/>
    <x v="2"/>
    <s v="Match"/>
    <n v="5"/>
    <s v="Within Target"/>
  </r>
  <r>
    <n v="2004"/>
    <n v="88"/>
    <x v="0"/>
    <s v="Cardiology"/>
    <x v="3"/>
    <d v="2024-03-20T00:00:00"/>
    <n v="5"/>
    <s v="No"/>
    <n v="19763"/>
    <x v="1"/>
    <s v="NO"/>
    <x v="3"/>
    <s v="Match"/>
    <n v="5"/>
    <s v="Within Target"/>
  </r>
  <r>
    <n v="2005"/>
    <n v="55"/>
    <x v="1"/>
    <s v="er"/>
    <x v="3"/>
    <d v="2024-03-17T00:00:00"/>
    <n v="2"/>
    <s v="No"/>
    <n v="6142"/>
    <x v="0"/>
    <s v="NO"/>
    <x v="2"/>
    <s v="Match"/>
    <n v="2"/>
    <s v="Within Target"/>
  </r>
  <r>
    <n v="2006"/>
    <n v="64"/>
    <x v="1"/>
    <s v="Pediatrics"/>
    <x v="4"/>
    <d v="2024-03-01T00:00:00"/>
    <n v="3"/>
    <s v="No"/>
    <n v="6588"/>
    <x v="2"/>
    <s v="NO"/>
    <x v="1"/>
    <s v="Match"/>
    <n v="3"/>
    <s v="Within Target"/>
  </r>
  <r>
    <n v="2007"/>
    <n v="54"/>
    <x v="0"/>
    <s v="Pediatrics"/>
    <x v="5"/>
    <d v="2024-01-15T00:00:00"/>
    <n v="5"/>
    <s v="No"/>
    <n v="11606"/>
    <x v="2"/>
    <s v="NO"/>
    <x v="3"/>
    <s v="Match"/>
    <n v="3"/>
    <s v="Above Target"/>
  </r>
  <r>
    <n v="2008"/>
    <n v="12"/>
    <x v="1"/>
    <s v="er"/>
    <x v="6"/>
    <d v="2024-04-02T00:00:00"/>
    <n v="3"/>
    <s v="Yes"/>
    <n v="7627"/>
    <x v="0"/>
    <s v="YES"/>
    <x v="1"/>
    <s v="Match"/>
    <n v="2"/>
    <s v="Above Target"/>
  </r>
  <r>
    <n v="2009"/>
    <n v="86"/>
    <x v="1"/>
    <s v="Cardiology"/>
    <x v="7"/>
    <d v="2024-03-07T00:00:00"/>
    <n v="7"/>
    <s v="Yes"/>
    <n v="17184"/>
    <x v="1"/>
    <s v="YES"/>
    <x v="4"/>
    <s v="Match"/>
    <n v="5"/>
    <s v="Above Target"/>
  </r>
  <r>
    <n v="2010"/>
    <n v="51"/>
    <x v="1"/>
    <s v="Cardiology"/>
    <x v="8"/>
    <d v="2024-01-31T00:00:00"/>
    <n v="9"/>
    <s v="No"/>
    <n v="23230"/>
    <x v="1"/>
    <s v="NO"/>
    <x v="5"/>
    <s v="Match"/>
    <n v="5"/>
    <s v="Above Target"/>
  </r>
  <r>
    <n v="2011"/>
    <n v="46"/>
    <x v="1"/>
    <s v="Orthopedics"/>
    <x v="9"/>
    <d v="2024-01-23T00:00:00"/>
    <n v="3"/>
    <s v="No"/>
    <n v="12673"/>
    <x v="3"/>
    <s v="NO"/>
    <x v="1"/>
    <s v="Match"/>
    <n v="6"/>
    <s v="Within Target"/>
  </r>
  <r>
    <n v="2012"/>
    <n v="1"/>
    <x v="0"/>
    <s v="er"/>
    <x v="10"/>
    <d v="2024-03-10T00:00:00"/>
    <n v="1"/>
    <s v="No"/>
    <n v="5203"/>
    <x v="0"/>
    <s v="NO"/>
    <x v="0"/>
    <s v="Match"/>
    <n v="2"/>
    <s v="Within Target"/>
  </r>
  <r>
    <n v="2013"/>
    <n v="7"/>
    <x v="1"/>
    <s v="Pediatrics"/>
    <x v="11"/>
    <d v="2024-03-16T00:00:00"/>
    <n v="4"/>
    <s v="No"/>
    <n v="10240"/>
    <x v="2"/>
    <s v="NO"/>
    <x v="6"/>
    <s v="Match"/>
    <n v="3"/>
    <s v="Above Target"/>
  </r>
  <r>
    <n v="2014"/>
    <n v="57"/>
    <x v="0"/>
    <s v=" Cardiology  "/>
    <x v="12"/>
    <d v="2024-02-15T00:00:00"/>
    <n v="2"/>
    <s v="Yes"/>
    <n v="12629"/>
    <x v="4"/>
    <s v="YES"/>
    <x v="2"/>
    <s v="Match"/>
    <n v="5"/>
    <s v="Within Target"/>
  </r>
  <r>
    <n v="2015"/>
    <n v="27"/>
    <x v="1"/>
    <s v="Orthopedics"/>
    <x v="13"/>
    <d v="2024-03-28T00:00:00"/>
    <n v="6"/>
    <s v="No"/>
    <n v="20743"/>
    <x v="3"/>
    <s v="NO"/>
    <x v="7"/>
    <s v="Match"/>
    <n v="6"/>
    <s v="Within Target"/>
  </r>
  <r>
    <n v="2016"/>
    <n v="62"/>
    <x v="1"/>
    <s v="neurology"/>
    <x v="14"/>
    <d v="2024-01-16T00:00:00"/>
    <n v="5"/>
    <s v="Yes"/>
    <n v="17221"/>
    <x v="5"/>
    <s v="YES"/>
    <x v="3"/>
    <s v="Match"/>
    <n v="7"/>
    <s v="Within Target"/>
  </r>
  <r>
    <n v="2017"/>
    <n v="68"/>
    <x v="1"/>
    <s v="Orthopedics"/>
    <x v="15"/>
    <d v="2024-04-08T00:00:00"/>
    <n v="10"/>
    <s v="No"/>
    <n v="27620"/>
    <x v="3"/>
    <s v="NO"/>
    <x v="8"/>
    <s v="Match"/>
    <n v="6"/>
    <s v="Above Target"/>
  </r>
  <r>
    <n v="2018"/>
    <n v="47"/>
    <x v="0"/>
    <s v="neurology"/>
    <x v="2"/>
    <d v="2024-02-09T00:00:00"/>
    <n v="11"/>
    <s v="No"/>
    <n v="29594"/>
    <x v="5"/>
    <s v="NO"/>
    <x v="9"/>
    <s v="Match"/>
    <n v="7"/>
    <s v="Above Target"/>
  </r>
  <r>
    <n v="2019"/>
    <n v="25"/>
    <x v="0"/>
    <s v="er"/>
    <x v="16"/>
    <m/>
    <n v="1"/>
    <s v="No"/>
    <m/>
    <x v="0"/>
    <s v="NO"/>
    <x v="10"/>
    <s v=""/>
    <n v="2"/>
    <s v=""/>
  </r>
  <r>
    <n v="2020"/>
    <n v="89"/>
    <x v="1"/>
    <s v="er"/>
    <x v="17"/>
    <d v="2024-02-15T00:00:00"/>
    <n v="1"/>
    <s v="Yes"/>
    <n v="3273"/>
    <x v="0"/>
    <s v="YES"/>
    <x v="0"/>
    <s v="Match"/>
    <n v="2"/>
    <s v="Within Target"/>
  </r>
  <r>
    <n v="2021"/>
    <n v="79"/>
    <x v="0"/>
    <s v="er"/>
    <x v="0"/>
    <d v="2024-03-25T00:00:00"/>
    <n v="1"/>
    <s v="No"/>
    <n v="4482"/>
    <x v="0"/>
    <s v="NO"/>
    <x v="0"/>
    <s v="Match"/>
    <n v="2"/>
    <s v="Within Target"/>
  </r>
  <r>
    <n v="2022"/>
    <n v="62"/>
    <x v="0"/>
    <s v="er"/>
    <x v="13"/>
    <d v="2024-03-23T00:00:00"/>
    <n v="1"/>
    <s v="Yes"/>
    <n v="4358"/>
    <x v="0"/>
    <s v="YES"/>
    <x v="0"/>
    <s v="Match"/>
    <n v="2"/>
    <s v="Within Target"/>
  </r>
  <r>
    <n v="2023"/>
    <n v="17"/>
    <x v="0"/>
    <s v="Orthopedics"/>
    <x v="18"/>
    <d v="2024-03-25T00:00:00"/>
    <n v="9"/>
    <s v="No"/>
    <n v="19243"/>
    <x v="3"/>
    <s v="NO"/>
    <x v="5"/>
    <s v="Match"/>
    <n v="6"/>
    <s v="Above Target"/>
  </r>
  <r>
    <n v="2024"/>
    <n v="71"/>
    <x v="0"/>
    <s v="Cardiology"/>
    <x v="19"/>
    <d v="2024-01-05T00:00:00"/>
    <n v="3"/>
    <s v="No"/>
    <n v="12643"/>
    <x v="1"/>
    <s v="NO"/>
    <x v="1"/>
    <s v="Match"/>
    <n v="5"/>
    <s v="Within Target"/>
  </r>
  <r>
    <n v="2025"/>
    <n v="28"/>
    <x v="1"/>
    <s v="Oncology"/>
    <x v="1"/>
    <d v="2024-02-14T00:00:00"/>
    <n v="14"/>
    <s v="No"/>
    <n v="29848"/>
    <x v="6"/>
    <s v="NO"/>
    <x v="11"/>
    <s v="Match"/>
    <n v="6"/>
    <s v="Above Target"/>
  </r>
  <r>
    <n v="2026"/>
    <n v="59"/>
    <x v="1"/>
    <s v="Oncology"/>
    <x v="20"/>
    <d v="2024-01-27T00:00:00"/>
    <n v="10"/>
    <s v="Yes"/>
    <n v="28188"/>
    <x v="6"/>
    <s v="YES"/>
    <x v="8"/>
    <s v="Match"/>
    <n v="6"/>
    <s v="Above Target"/>
  </r>
  <r>
    <n v="2027"/>
    <n v="20"/>
    <x v="0"/>
    <s v="Orthopedics"/>
    <x v="21"/>
    <d v="2024-03-12T00:00:00"/>
    <n v="11"/>
    <s v="No"/>
    <n v="29755"/>
    <x v="3"/>
    <s v="NO"/>
    <x v="9"/>
    <s v="Match"/>
    <n v="6"/>
    <s v="Above Target"/>
  </r>
  <r>
    <n v="2028"/>
    <n v="14"/>
    <x v="0"/>
    <s v=" Orthopedics  "/>
    <x v="22"/>
    <m/>
    <n v="6"/>
    <s v="Yes"/>
    <n v="14839"/>
    <x v="7"/>
    <s v="YES"/>
    <x v="10"/>
    <s v=""/>
    <n v="6"/>
    <s v=""/>
  </r>
  <r>
    <n v="2029"/>
    <n v="42"/>
    <x v="0"/>
    <s v="Pediatrics"/>
    <x v="23"/>
    <d v="2024-02-09T00:00:00"/>
    <n v="4"/>
    <s v="No"/>
    <n v="11755"/>
    <x v="2"/>
    <s v="NO"/>
    <x v="6"/>
    <s v="Match"/>
    <n v="3"/>
    <s v="Above Target"/>
  </r>
  <r>
    <n v="2030"/>
    <n v="34"/>
    <x v="0"/>
    <s v="er"/>
    <x v="24"/>
    <d v="2024-01-20T00:00:00"/>
    <n v="2"/>
    <s v="Yes"/>
    <n v="5957"/>
    <x v="0"/>
    <s v="YES"/>
    <x v="2"/>
    <s v="Match"/>
    <n v="2"/>
    <s v="Within Target"/>
  </r>
  <r>
    <n v="2031"/>
    <n v="16"/>
    <x v="0"/>
    <s v="Pediatrics"/>
    <x v="25"/>
    <d v="2024-03-26T00:00:00"/>
    <n v="3"/>
    <s v="No"/>
    <n v="8724"/>
    <x v="2"/>
    <s v="NO"/>
    <x v="1"/>
    <s v="Match"/>
    <n v="3"/>
    <s v="Within Target"/>
  </r>
  <r>
    <n v="2032"/>
    <n v="21"/>
    <x v="0"/>
    <s v="Orthopedics"/>
    <x v="26"/>
    <d v="2024-03-06T00:00:00"/>
    <n v="10"/>
    <s v="No"/>
    <n v="25220"/>
    <x v="3"/>
    <s v="NO"/>
    <x v="8"/>
    <s v="Match"/>
    <n v="6"/>
    <s v="Above Target"/>
  </r>
  <r>
    <n v="2033"/>
    <n v="59"/>
    <x v="1"/>
    <s v="Pediatrics"/>
    <x v="27"/>
    <d v="2024-01-07T00:00:00"/>
    <n v="4"/>
    <s v="No"/>
    <n v="12513"/>
    <x v="2"/>
    <s v="NO"/>
    <x v="6"/>
    <s v="Match"/>
    <n v="3"/>
    <s v="Above Target"/>
  </r>
  <r>
    <n v="2034"/>
    <n v="14"/>
    <x v="0"/>
    <s v="neurology"/>
    <x v="28"/>
    <d v="2024-02-07T00:00:00"/>
    <n v="3"/>
    <s v="No"/>
    <n v="12066"/>
    <x v="5"/>
    <s v="NO"/>
    <x v="1"/>
    <s v="Match"/>
    <n v="7"/>
    <s v="Within Target"/>
  </r>
  <r>
    <n v="2035"/>
    <n v="34"/>
    <x v="1"/>
    <s v="Orthopedics"/>
    <x v="10"/>
    <d v="2024-03-19T00:00:00"/>
    <n v="10"/>
    <s v="No"/>
    <n v="23073"/>
    <x v="3"/>
    <s v="NO"/>
    <x v="8"/>
    <s v="Match"/>
    <n v="6"/>
    <s v="Above Target"/>
  </r>
  <r>
    <n v="2036"/>
    <n v="35"/>
    <x v="0"/>
    <s v="Pediatrics"/>
    <x v="29"/>
    <d v="2024-01-15T00:00:00"/>
    <m/>
    <s v="Yes"/>
    <n v="7401"/>
    <x v="2"/>
    <s v="YES"/>
    <x v="1"/>
    <s v=""/>
    <n v="3"/>
    <s v="Within Target"/>
  </r>
  <r>
    <n v="2037"/>
    <n v="54"/>
    <x v="1"/>
    <s v="Oncology"/>
    <x v="20"/>
    <d v="2024-01-19T00:00:00"/>
    <n v="2"/>
    <s v="No"/>
    <n v="13397"/>
    <x v="6"/>
    <s v="NO"/>
    <x v="2"/>
    <s v="Match"/>
    <n v="6"/>
    <s v="Within Target"/>
  </r>
  <r>
    <n v="2038"/>
    <n v="40"/>
    <x v="1"/>
    <s v="Oncology"/>
    <x v="30"/>
    <m/>
    <n v="6"/>
    <s v="No"/>
    <n v="16838"/>
    <x v="6"/>
    <s v="NO"/>
    <x v="10"/>
    <s v=""/>
    <n v="6"/>
    <s v=""/>
  </r>
  <r>
    <n v="2039"/>
    <n v="65"/>
    <x v="0"/>
    <s v="Oncology"/>
    <x v="21"/>
    <d v="2024-03-06T00:00:00"/>
    <n v="5"/>
    <s v="No"/>
    <n v="15633"/>
    <x v="6"/>
    <s v="NO"/>
    <x v="3"/>
    <s v="Match"/>
    <n v="6"/>
    <s v="Within Target"/>
  </r>
  <r>
    <n v="2040"/>
    <n v="51"/>
    <x v="1"/>
    <s v="Pediatrics"/>
    <x v="31"/>
    <d v="2024-01-30T00:00:00"/>
    <n v="2"/>
    <s v="No"/>
    <n v="6400"/>
    <x v="2"/>
    <s v="NO"/>
    <x v="2"/>
    <s v="Match"/>
    <n v="3"/>
    <s v="Within Target"/>
  </r>
  <r>
    <n v="2041"/>
    <n v="81"/>
    <x v="1"/>
    <s v="er"/>
    <x v="32"/>
    <d v="2024-01-22T00:00:00"/>
    <n v="1"/>
    <s v="Yes"/>
    <n v="5162"/>
    <x v="0"/>
    <s v="YES"/>
    <x v="0"/>
    <s v="Match"/>
    <n v="2"/>
    <s v="Within Target"/>
  </r>
  <r>
    <n v="2042"/>
    <n v="6"/>
    <x v="1"/>
    <s v="Orthopedics"/>
    <x v="32"/>
    <d v="2024-01-27T00:00:00"/>
    <n v="6"/>
    <s v="No"/>
    <n v="16579"/>
    <x v="3"/>
    <s v="NO"/>
    <x v="7"/>
    <s v="Match"/>
    <n v="6"/>
    <s v="Within Target"/>
  </r>
  <r>
    <n v="2043"/>
    <n v="40"/>
    <x v="0"/>
    <s v="neurology"/>
    <x v="33"/>
    <d v="2024-01-27T00:00:00"/>
    <n v="3"/>
    <s v="No"/>
    <n v="11885"/>
    <x v="5"/>
    <s v="NO"/>
    <x v="1"/>
    <s v="Match"/>
    <n v="7"/>
    <s v="Within Target"/>
  </r>
  <r>
    <n v="2044"/>
    <n v="12"/>
    <x v="1"/>
    <s v="Cardiology"/>
    <x v="34"/>
    <d v="2024-01-27T00:00:00"/>
    <n v="8"/>
    <s v="No"/>
    <n v="21894"/>
    <x v="1"/>
    <s v="NO"/>
    <x v="12"/>
    <s v="Match"/>
    <n v="5"/>
    <s v="Above Target"/>
  </r>
  <r>
    <n v="2045"/>
    <n v="20"/>
    <x v="1"/>
    <s v="neurology"/>
    <x v="35"/>
    <d v="2024-03-09T00:00:00"/>
    <n v="5"/>
    <s v="No"/>
    <n v="19852"/>
    <x v="5"/>
    <s v="NO"/>
    <x v="3"/>
    <s v="Match"/>
    <n v="7"/>
    <s v="Within Target"/>
  </r>
  <r>
    <n v="2046"/>
    <n v="55"/>
    <x v="0"/>
    <s v="Oncology"/>
    <x v="36"/>
    <d v="2024-03-16T00:00:00"/>
    <n v="11"/>
    <s v="No"/>
    <n v="20644"/>
    <x v="6"/>
    <s v="NO"/>
    <x v="9"/>
    <s v="Match"/>
    <n v="6"/>
    <s v="Above Target"/>
  </r>
  <r>
    <n v="2047"/>
    <n v="83"/>
    <x v="0"/>
    <s v="Cardiology"/>
    <x v="37"/>
    <d v="2024-01-06T00:00:00"/>
    <n v="2"/>
    <s v="Yes"/>
    <n v="13441"/>
    <x v="1"/>
    <s v="YES"/>
    <x v="2"/>
    <s v="Match"/>
    <n v="5"/>
    <s v="Within Target"/>
  </r>
  <r>
    <n v="2048"/>
    <n v="81"/>
    <x v="0"/>
    <s v="er"/>
    <x v="38"/>
    <d v="2024-02-04T00:00:00"/>
    <n v="1"/>
    <s v="No"/>
    <n v="4275"/>
    <x v="0"/>
    <s v="NO"/>
    <x v="0"/>
    <s v="Match"/>
    <n v="2"/>
    <s v="Within Target"/>
  </r>
  <r>
    <n v="2049"/>
    <n v="61"/>
    <x v="1"/>
    <s v="Cardiology"/>
    <x v="38"/>
    <d v="2024-02-08T00:00:00"/>
    <n v="5"/>
    <s v="No"/>
    <n v="15272"/>
    <x v="1"/>
    <s v="NO"/>
    <x v="3"/>
    <s v="Match"/>
    <n v="5"/>
    <s v="Within Target"/>
  </r>
  <r>
    <n v="2050"/>
    <n v="62"/>
    <x v="1"/>
    <s v="Cardiology"/>
    <x v="39"/>
    <d v="2024-03-24T00:00:00"/>
    <n v="5"/>
    <s v="Yes"/>
    <n v="14884"/>
    <x v="1"/>
    <s v="YES"/>
    <x v="3"/>
    <s v="Match"/>
    <n v="5"/>
    <s v="Within Target"/>
  </r>
  <r>
    <n v="2051"/>
    <n v="2"/>
    <x v="1"/>
    <s v="Cardiology"/>
    <x v="40"/>
    <d v="2024-03-09T00:00:00"/>
    <n v="6"/>
    <s v="No"/>
    <n v="16235"/>
    <x v="1"/>
    <s v="NO"/>
    <x v="7"/>
    <s v="Match"/>
    <n v="5"/>
    <s v="Above Target"/>
  </r>
  <r>
    <n v="2052"/>
    <n v="60"/>
    <x v="1"/>
    <s v="Cardiology"/>
    <x v="41"/>
    <d v="2024-03-16T00:00:00"/>
    <n v="5"/>
    <s v="No"/>
    <n v="15492"/>
    <x v="1"/>
    <s v="NO"/>
    <x v="3"/>
    <s v="Match"/>
    <n v="5"/>
    <s v="Within Target"/>
  </r>
  <r>
    <n v="2053"/>
    <n v="58"/>
    <x v="1"/>
    <s v="er"/>
    <x v="30"/>
    <d v="2024-01-28T00:00:00"/>
    <n v="1"/>
    <s v="Yes"/>
    <n v="3074"/>
    <x v="0"/>
    <s v="YES"/>
    <x v="0"/>
    <s v="Match"/>
    <n v="2"/>
    <s v="Within Target"/>
  </r>
  <r>
    <n v="2054"/>
    <n v="81"/>
    <x v="1"/>
    <s v="Cardiology"/>
    <x v="42"/>
    <m/>
    <n v="5"/>
    <s v="No"/>
    <m/>
    <x v="1"/>
    <s v="NO"/>
    <x v="10"/>
    <s v=""/>
    <n v="5"/>
    <s v=""/>
  </r>
  <r>
    <n v="2055"/>
    <n v="39"/>
    <x v="0"/>
    <s v="er"/>
    <x v="17"/>
    <d v="2024-02-16T00:00:00"/>
    <n v="2"/>
    <s v="No"/>
    <n v="4859"/>
    <x v="0"/>
    <s v="NO"/>
    <x v="2"/>
    <s v="Match"/>
    <n v="2"/>
    <s v="Within Target"/>
  </r>
  <r>
    <n v="2056"/>
    <n v="26"/>
    <x v="0"/>
    <s v="Pediatrics"/>
    <x v="43"/>
    <d v="2024-02-10T00:00:00"/>
    <n v="3"/>
    <s v="No"/>
    <n v="9111"/>
    <x v="2"/>
    <s v="NO"/>
    <x v="1"/>
    <s v="Match"/>
    <n v="3"/>
    <s v="Within Target"/>
  </r>
  <r>
    <n v="2057"/>
    <n v="36"/>
    <x v="0"/>
    <s v="neurology"/>
    <x v="44"/>
    <d v="2024-01-17T00:00:00"/>
    <n v="3"/>
    <s v="No"/>
    <n v="13452"/>
    <x v="5"/>
    <s v="NO"/>
    <x v="1"/>
    <s v="Match"/>
    <n v="7"/>
    <s v="Within Target"/>
  </r>
  <r>
    <n v="2058"/>
    <n v="25"/>
    <x v="1"/>
    <s v="er"/>
    <x v="37"/>
    <d v="2024-01-07T00:00:00"/>
    <n v="3"/>
    <s v="No"/>
    <n v="8926"/>
    <x v="0"/>
    <s v="NO"/>
    <x v="1"/>
    <s v="Match"/>
    <n v="2"/>
    <s v="Above Target"/>
  </r>
  <r>
    <n v="2059"/>
    <n v="79"/>
    <x v="0"/>
    <s v="Pediatrics"/>
    <x v="45"/>
    <d v="2024-02-10T00:00:00"/>
    <n v="4"/>
    <s v="Yes"/>
    <n v="11564"/>
    <x v="2"/>
    <s v="YES"/>
    <x v="6"/>
    <s v="Match"/>
    <n v="3"/>
    <s v="Above Target"/>
  </r>
  <r>
    <n v="2060"/>
    <n v="84"/>
    <x v="1"/>
    <s v="er"/>
    <x v="0"/>
    <d v="2024-03-25T00:00:00"/>
    <n v="1"/>
    <s v="No"/>
    <n v="5110"/>
    <x v="0"/>
    <s v="NO"/>
    <x v="0"/>
    <s v="Match"/>
    <n v="2"/>
    <s v="Within Target"/>
  </r>
  <r>
    <n v="2061"/>
    <n v="64"/>
    <x v="0"/>
    <s v="er"/>
    <x v="46"/>
    <d v="2024-02-14T00:00:00"/>
    <n v="2"/>
    <s v="No"/>
    <n v="6136"/>
    <x v="0"/>
    <s v="NO"/>
    <x v="2"/>
    <s v="Match"/>
    <n v="2"/>
    <s v="Within Target"/>
  </r>
  <r>
    <n v="2062"/>
    <n v="48"/>
    <x v="1"/>
    <s v="Oncology"/>
    <x v="47"/>
    <d v="2024-01-28T00:00:00"/>
    <n v="2"/>
    <s v="No"/>
    <n v="12974"/>
    <x v="6"/>
    <s v="NO"/>
    <x v="2"/>
    <s v="Match"/>
    <n v="6"/>
    <s v="Within Target"/>
  </r>
  <r>
    <n v="2063"/>
    <n v="8"/>
    <x v="1"/>
    <s v="neurology"/>
    <x v="48"/>
    <d v="2024-03-22T00:00:00"/>
    <n v="8"/>
    <s v="Yes"/>
    <n v="24223"/>
    <x v="5"/>
    <s v="YES"/>
    <x v="12"/>
    <s v="Match"/>
    <n v="7"/>
    <s v="Above Target"/>
  </r>
  <r>
    <n v="2064"/>
    <n v="32"/>
    <x v="1"/>
    <s v="er"/>
    <x v="25"/>
    <d v="2024-03-25T00:00:00"/>
    <n v="2"/>
    <s v="No"/>
    <n v="6516"/>
    <x v="0"/>
    <s v="NO"/>
    <x v="2"/>
    <s v="Match"/>
    <n v="2"/>
    <s v="Within Target"/>
  </r>
  <r>
    <n v="2065"/>
    <n v="61"/>
    <x v="1"/>
    <s v="Cardiology"/>
    <x v="5"/>
    <d v="2024-01-18T00:00:00"/>
    <n v="8"/>
    <s v="No"/>
    <n v="25799"/>
    <x v="1"/>
    <s v="NO"/>
    <x v="12"/>
    <s v="Match"/>
    <n v="5"/>
    <s v="Above Target"/>
  </r>
  <r>
    <n v="2066"/>
    <n v="20"/>
    <x v="0"/>
    <s v="Pediatrics"/>
    <x v="6"/>
    <d v="2024-04-03T00:00:00"/>
    <n v="4"/>
    <s v="Yes"/>
    <n v="7122"/>
    <x v="2"/>
    <s v="YES"/>
    <x v="6"/>
    <s v="Match"/>
    <n v="3"/>
    <s v="Above Target"/>
  </r>
  <r>
    <n v="2067"/>
    <n v="39"/>
    <x v="0"/>
    <s v="Pediatrics"/>
    <x v="49"/>
    <d v="2024-02-07T00:00:00"/>
    <n v="5"/>
    <s v="No"/>
    <n v="9048"/>
    <x v="2"/>
    <s v="NO"/>
    <x v="3"/>
    <s v="Match"/>
    <n v="3"/>
    <s v="Above Target"/>
  </r>
  <r>
    <n v="2068"/>
    <n v="29"/>
    <x v="0"/>
    <s v="Cardiology"/>
    <x v="10"/>
    <d v="2024-03-15T00:00:00"/>
    <n v="6"/>
    <s v="No"/>
    <n v="18983"/>
    <x v="1"/>
    <s v="NO"/>
    <x v="7"/>
    <s v="Match"/>
    <n v="5"/>
    <s v="Above Target"/>
  </r>
  <r>
    <n v="2069"/>
    <n v="71"/>
    <x v="0"/>
    <s v="Cardiology"/>
    <x v="50"/>
    <d v="2024-02-28T00:00:00"/>
    <n v="6"/>
    <s v="Yes"/>
    <n v="17002"/>
    <x v="1"/>
    <s v="YES"/>
    <x v="7"/>
    <s v="Match"/>
    <n v="5"/>
    <s v="Above Target"/>
  </r>
  <r>
    <n v="2070"/>
    <n v="55"/>
    <x v="1"/>
    <s v="Orthopedics"/>
    <x v="35"/>
    <d v="2024-03-06T00:00:00"/>
    <n v="2"/>
    <s v="No"/>
    <n v="11464"/>
    <x v="3"/>
    <s v="NO"/>
    <x v="2"/>
    <s v="Match"/>
    <n v="6"/>
    <s v="Within Target"/>
  </r>
  <r>
    <n v="2071"/>
    <n v="65"/>
    <x v="0"/>
    <s v="Orthopedics"/>
    <x v="35"/>
    <d v="2024-03-09T00:00:00"/>
    <n v="5"/>
    <s v="No"/>
    <n v="14157"/>
    <x v="3"/>
    <s v="NO"/>
    <x v="3"/>
    <s v="Match"/>
    <n v="6"/>
    <s v="Within Target"/>
  </r>
  <r>
    <n v="2072"/>
    <n v="80"/>
    <x v="1"/>
    <s v="Oncology"/>
    <x v="33"/>
    <d v="2024-01-29T00:00:00"/>
    <n v="5"/>
    <s v="No"/>
    <n v="15718"/>
    <x v="6"/>
    <s v="NO"/>
    <x v="3"/>
    <s v="Match"/>
    <n v="6"/>
    <s v="Within Target"/>
  </r>
  <r>
    <n v="2073"/>
    <n v="77"/>
    <x v="0"/>
    <s v="er"/>
    <x v="51"/>
    <d v="2024-01-10T00:00:00"/>
    <n v="3"/>
    <s v="Yes"/>
    <n v="7735"/>
    <x v="0"/>
    <s v="YES"/>
    <x v="1"/>
    <s v="Match"/>
    <n v="2"/>
    <s v="Above Target"/>
  </r>
  <r>
    <n v="2074"/>
    <n v="22"/>
    <x v="1"/>
    <s v="Orthopedics"/>
    <x v="33"/>
    <d v="2024-02-05T00:00:00"/>
    <n v="12"/>
    <s v="No"/>
    <n v="29549"/>
    <x v="3"/>
    <s v="NO"/>
    <x v="13"/>
    <s v="Match"/>
    <n v="6"/>
    <s v="Above Target"/>
  </r>
  <r>
    <n v="2075"/>
    <n v="57"/>
    <x v="0"/>
    <s v="Cardiology"/>
    <x v="52"/>
    <d v="2024-01-04T00:00:00"/>
    <n v="3"/>
    <s v="No"/>
    <n v="13917"/>
    <x v="1"/>
    <s v="NO"/>
    <x v="1"/>
    <s v="Match"/>
    <n v="5"/>
    <s v="Within Target"/>
  </r>
  <r>
    <n v="2076"/>
    <n v="46"/>
    <x v="1"/>
    <s v="er"/>
    <x v="29"/>
    <d v="2024-01-13T00:00:00"/>
    <n v="1"/>
    <s v="No"/>
    <n v="3763"/>
    <x v="0"/>
    <s v="NO"/>
    <x v="0"/>
    <s v="Match"/>
    <n v="2"/>
    <s v="Within Target"/>
  </r>
  <r>
    <n v="2077"/>
    <n v="61"/>
    <x v="0"/>
    <s v=" Pediatrics  "/>
    <x v="50"/>
    <d v="2024-02-24T00:00:00"/>
    <n v="2"/>
    <s v="No"/>
    <n v="6739"/>
    <x v="8"/>
    <s v="NO"/>
    <x v="2"/>
    <s v="Match"/>
    <n v="3"/>
    <s v="Within Target"/>
  </r>
  <r>
    <n v="2078"/>
    <n v="25"/>
    <x v="0"/>
    <s v="Oncology"/>
    <x v="12"/>
    <d v="2024-02-20T00:00:00"/>
    <n v="7"/>
    <s v="No"/>
    <n v="23930"/>
    <x v="6"/>
    <s v="NO"/>
    <x v="4"/>
    <s v="Match"/>
    <n v="6"/>
    <s v="Above Target"/>
  </r>
  <r>
    <n v="2079"/>
    <n v="1"/>
    <x v="0"/>
    <s v="Cardiology"/>
    <x v="16"/>
    <d v="2024-02-02T00:00:00"/>
    <n v="3"/>
    <s v="No"/>
    <n v="15712"/>
    <x v="1"/>
    <s v="NO"/>
    <x v="1"/>
    <s v="Match"/>
    <n v="5"/>
    <s v="Within Target"/>
  </r>
  <r>
    <n v="2080"/>
    <n v="17"/>
    <x v="1"/>
    <s v="Orthopedics"/>
    <x v="19"/>
    <d v="2024-01-08T00:00:00"/>
    <n v="6"/>
    <s v="No"/>
    <n v="15697"/>
    <x v="3"/>
    <s v="NO"/>
    <x v="7"/>
    <s v="Match"/>
    <n v="6"/>
    <s v="Within Target"/>
  </r>
  <r>
    <n v="2081"/>
    <n v="77"/>
    <x v="0"/>
    <s v="Oncology"/>
    <x v="47"/>
    <d v="2024-02-03T00:00:00"/>
    <n v="8"/>
    <s v="No"/>
    <n v="20783"/>
    <x v="6"/>
    <s v="NO"/>
    <x v="12"/>
    <s v="Match"/>
    <n v="6"/>
    <s v="Above Target"/>
  </r>
  <r>
    <n v="2082"/>
    <n v="55"/>
    <x v="0"/>
    <s v="Cardiology"/>
    <x v="38"/>
    <d v="2024-02-06T00:00:00"/>
    <n v="3"/>
    <s v="No"/>
    <n v="14506"/>
    <x v="1"/>
    <s v="NO"/>
    <x v="1"/>
    <s v="Match"/>
    <n v="5"/>
    <s v="Within Target"/>
  </r>
  <r>
    <n v="2083"/>
    <n v="59"/>
    <x v="0"/>
    <s v="Pediatrics"/>
    <x v="10"/>
    <d v="2024-03-10T00:00:00"/>
    <n v="1"/>
    <s v="No"/>
    <n v="5302"/>
    <x v="2"/>
    <s v="NO"/>
    <x v="0"/>
    <s v="Match"/>
    <n v="3"/>
    <s v="Within Target"/>
  </r>
  <r>
    <n v="2084"/>
    <n v="57"/>
    <x v="0"/>
    <s v="Orthopedics"/>
    <x v="53"/>
    <d v="2024-02-06T00:00:00"/>
    <n v="5"/>
    <s v="No"/>
    <n v="18005"/>
    <x v="3"/>
    <s v="NO"/>
    <x v="3"/>
    <s v="Match"/>
    <n v="6"/>
    <s v="Within Target"/>
  </r>
  <r>
    <n v="2085"/>
    <n v="30"/>
    <x v="0"/>
    <s v=" Pediatrics  "/>
    <x v="7"/>
    <d v="2024-03-01T00:00:00"/>
    <n v="1"/>
    <s v="No"/>
    <n v="6880"/>
    <x v="8"/>
    <s v="NO"/>
    <x v="0"/>
    <s v="Match"/>
    <n v="3"/>
    <s v="Within Target"/>
  </r>
  <r>
    <n v="2086"/>
    <n v="38"/>
    <x v="0"/>
    <s v="Cardiology"/>
    <x v="51"/>
    <d v="2024-01-12T00:00:00"/>
    <n v="5"/>
    <s v="No"/>
    <n v="19067"/>
    <x v="1"/>
    <s v="NO"/>
    <x v="3"/>
    <s v="Match"/>
    <n v="5"/>
    <s v="Within Target"/>
  </r>
  <r>
    <n v="2087"/>
    <n v="34"/>
    <x v="0"/>
    <s v="Cardiology"/>
    <x v="13"/>
    <d v="2024-03-29T00:00:00"/>
    <n v="7"/>
    <s v="No"/>
    <n v="20481"/>
    <x v="1"/>
    <s v="NO"/>
    <x v="4"/>
    <s v="Match"/>
    <n v="5"/>
    <s v="Above Target"/>
  </r>
  <r>
    <n v="2088"/>
    <n v="84"/>
    <x v="0"/>
    <s v="Cardiology"/>
    <x v="54"/>
    <d v="2024-02-19T00:00:00"/>
    <n v="8"/>
    <s v="No"/>
    <n v="19703"/>
    <x v="1"/>
    <s v="NO"/>
    <x v="12"/>
    <s v="Match"/>
    <n v="5"/>
    <s v="Above Target"/>
  </r>
  <r>
    <n v="2089"/>
    <n v="9"/>
    <x v="1"/>
    <s v="Cardiology"/>
    <x v="55"/>
    <d v="2024-03-01T00:00:00"/>
    <n v="10"/>
    <s v="Yes"/>
    <n v="28316"/>
    <x v="1"/>
    <s v="YES"/>
    <x v="8"/>
    <s v="Match"/>
    <n v="5"/>
    <s v="Above Target"/>
  </r>
  <r>
    <n v="2090"/>
    <n v="86"/>
    <x v="1"/>
    <s v="er"/>
    <x v="51"/>
    <d v="2024-01-08T00:00:00"/>
    <n v="1"/>
    <s v="No"/>
    <n v="4179"/>
    <x v="0"/>
    <s v="NO"/>
    <x v="0"/>
    <s v="Match"/>
    <n v="2"/>
    <s v="Within Target"/>
  </r>
  <r>
    <n v="2091"/>
    <n v="26"/>
    <x v="1"/>
    <s v="Pediatrics"/>
    <x v="56"/>
    <d v="2024-02-23T00:00:00"/>
    <n v="2"/>
    <s v="No"/>
    <n v="8624"/>
    <x v="2"/>
    <s v="NO"/>
    <x v="2"/>
    <s v="Match"/>
    <n v="3"/>
    <s v="Within Target"/>
  </r>
  <r>
    <n v="2092"/>
    <n v="47"/>
    <x v="1"/>
    <s v="Orthopedics"/>
    <x v="20"/>
    <d v="2024-01-19T00:00:00"/>
    <n v="2"/>
    <s v="Yes"/>
    <n v="10894"/>
    <x v="3"/>
    <s v="YES"/>
    <x v="2"/>
    <s v="Match"/>
    <n v="6"/>
    <s v="Within Target"/>
  </r>
  <r>
    <n v="2093"/>
    <n v="65"/>
    <x v="0"/>
    <s v="Orthopedics"/>
    <x v="17"/>
    <d v="2024-02-20T00:00:00"/>
    <n v="6"/>
    <s v="Yes"/>
    <n v="16601"/>
    <x v="3"/>
    <s v="YES"/>
    <x v="7"/>
    <s v="Match"/>
    <n v="6"/>
    <s v="Within Target"/>
  </r>
  <r>
    <n v="2094"/>
    <n v="26"/>
    <x v="1"/>
    <s v="Orthopedics"/>
    <x v="57"/>
    <d v="2024-01-15T00:00:00"/>
    <n v="9"/>
    <s v="No"/>
    <n v="28392"/>
    <x v="3"/>
    <s v="NO"/>
    <x v="5"/>
    <s v="Match"/>
    <n v="6"/>
    <s v="Above Target"/>
  </r>
  <r>
    <n v="2095"/>
    <n v="21"/>
    <x v="0"/>
    <s v="Oncology"/>
    <x v="56"/>
    <d v="2024-03-03T00:00:00"/>
    <n v="11"/>
    <s v="No"/>
    <n v="29622"/>
    <x v="6"/>
    <s v="NO"/>
    <x v="9"/>
    <s v="Match"/>
    <n v="6"/>
    <s v="Above Target"/>
  </r>
  <r>
    <n v="2096"/>
    <n v="46"/>
    <x v="0"/>
    <s v="Orthopedics"/>
    <x v="53"/>
    <d v="2024-02-06T00:00:00"/>
    <n v="5"/>
    <s v="Yes"/>
    <n v="19180"/>
    <x v="3"/>
    <s v="YES"/>
    <x v="3"/>
    <s v="Match"/>
    <n v="6"/>
    <s v="Within Target"/>
  </r>
  <r>
    <n v="2097"/>
    <n v="77"/>
    <x v="1"/>
    <s v="Oncology"/>
    <x v="58"/>
    <d v="2024-04-04T00:00:00"/>
    <n v="14"/>
    <s v="No"/>
    <n v="33971"/>
    <x v="6"/>
    <s v="NO"/>
    <x v="11"/>
    <s v="Match"/>
    <n v="6"/>
    <s v="Above Target"/>
  </r>
  <r>
    <n v="2098"/>
    <n v="57"/>
    <x v="0"/>
    <s v="Cardiology"/>
    <x v="52"/>
    <d v="2024-01-10T00:00:00"/>
    <n v="9"/>
    <s v="No"/>
    <n v="26098"/>
    <x v="1"/>
    <s v="NO"/>
    <x v="5"/>
    <s v="Match"/>
    <n v="5"/>
    <s v="Above Target"/>
  </r>
  <r>
    <n v="2099"/>
    <n v="52"/>
    <x v="0"/>
    <s v="Cardiology"/>
    <x v="20"/>
    <d v="2024-01-24T00:00:00"/>
    <n v="7"/>
    <s v="No"/>
    <n v="17452"/>
    <x v="1"/>
    <s v="NO"/>
    <x v="4"/>
    <s v="Match"/>
    <n v="5"/>
    <s v="Above Target"/>
  </r>
  <r>
    <n v="2100"/>
    <n v="11"/>
    <x v="1"/>
    <s v="Pediatrics"/>
    <x v="59"/>
    <d v="2024-03-07T00:00:00"/>
    <n v="1"/>
    <s v="Yes"/>
    <n v="6964"/>
    <x v="2"/>
    <s v="YES"/>
    <x v="0"/>
    <s v="Match"/>
    <n v="3"/>
    <s v="Within Target"/>
  </r>
  <r>
    <n v="2101"/>
    <n v="79"/>
    <x v="0"/>
    <s v="Orthopedics"/>
    <x v="20"/>
    <d v="2024-01-26T00:00:00"/>
    <n v="9"/>
    <s v="No"/>
    <n v="19747"/>
    <x v="3"/>
    <s v="NO"/>
    <x v="5"/>
    <s v="Match"/>
    <n v="6"/>
    <s v="Above Target"/>
  </r>
  <r>
    <n v="2102"/>
    <n v="33"/>
    <x v="0"/>
    <s v="neurology"/>
    <x v="39"/>
    <d v="2024-03-26T00:00:00"/>
    <n v="7"/>
    <s v="No"/>
    <n v="20832"/>
    <x v="5"/>
    <s v="NO"/>
    <x v="4"/>
    <s v="Match"/>
    <n v="7"/>
    <s v="Within Target"/>
  </r>
  <r>
    <n v="2103"/>
    <n v="79"/>
    <x v="0"/>
    <s v="neurology"/>
    <x v="60"/>
    <d v="2024-02-20T00:00:00"/>
    <n v="3"/>
    <s v="Yes"/>
    <n v="13208"/>
    <x v="5"/>
    <s v="YES"/>
    <x v="1"/>
    <s v="Match"/>
    <n v="7"/>
    <s v="Within Target"/>
  </r>
  <r>
    <n v="2104"/>
    <n v="34"/>
    <x v="0"/>
    <s v="Oncology"/>
    <x v="51"/>
    <d v="2024-01-19T00:00:00"/>
    <n v="12"/>
    <s v="No"/>
    <n v="31761"/>
    <x v="6"/>
    <s v="NO"/>
    <x v="13"/>
    <s v="Match"/>
    <n v="6"/>
    <s v="Above Target"/>
  </r>
  <r>
    <n v="2105"/>
    <n v="69"/>
    <x v="1"/>
    <s v="Pediatrics"/>
    <x v="60"/>
    <d v="2024-02-20T00:00:00"/>
    <n v="3"/>
    <s v="No"/>
    <n v="9347"/>
    <x v="2"/>
    <s v="NO"/>
    <x v="1"/>
    <s v="Match"/>
    <n v="3"/>
    <s v="Within Target"/>
  </r>
  <r>
    <n v="2106"/>
    <n v="79"/>
    <x v="0"/>
    <s v="neurology"/>
    <x v="61"/>
    <d v="2024-03-14T00:00:00"/>
    <m/>
    <s v="No"/>
    <n v="24294"/>
    <x v="5"/>
    <s v="NO"/>
    <x v="4"/>
    <s v=""/>
    <n v="7"/>
    <s v="Within Target"/>
  </r>
  <r>
    <n v="2107"/>
    <n v="20"/>
    <x v="1"/>
    <s v=" Oncology  "/>
    <x v="58"/>
    <d v="2024-03-29T00:00:00"/>
    <n v="8"/>
    <s v="No"/>
    <n v="23694"/>
    <x v="9"/>
    <s v="NO"/>
    <x v="12"/>
    <s v="Match"/>
    <n v="6"/>
    <s v="Above Target"/>
  </r>
  <r>
    <n v="2108"/>
    <n v="7"/>
    <x v="0"/>
    <s v="Oncology"/>
    <x v="62"/>
    <d v="2024-02-21T00:00:00"/>
    <n v="6"/>
    <s v="Yes"/>
    <n v="19579"/>
    <x v="6"/>
    <s v="YES"/>
    <x v="7"/>
    <s v="Match"/>
    <n v="6"/>
    <s v="Within Target"/>
  </r>
  <r>
    <n v="2109"/>
    <n v="80"/>
    <x v="1"/>
    <s v="Orthopedics"/>
    <x v="24"/>
    <d v="2024-01-20T00:00:00"/>
    <n v="2"/>
    <s v="No"/>
    <n v="11444"/>
    <x v="3"/>
    <s v="NO"/>
    <x v="2"/>
    <s v="Match"/>
    <n v="6"/>
    <s v="Within Target"/>
  </r>
  <r>
    <n v="2110"/>
    <n v="35"/>
    <x v="1"/>
    <s v="neurology"/>
    <x v="19"/>
    <d v="2024-01-05T00:00:00"/>
    <n v="3"/>
    <s v="No"/>
    <n v="15681"/>
    <x v="5"/>
    <s v="NO"/>
    <x v="1"/>
    <s v="Match"/>
    <n v="7"/>
    <s v="Within Target"/>
  </r>
  <r>
    <n v="2111"/>
    <n v="64"/>
    <x v="0"/>
    <s v="Orthopedics"/>
    <x v="52"/>
    <d v="2024-01-03T00:00:00"/>
    <n v="2"/>
    <s v="Yes"/>
    <n v="9933"/>
    <x v="3"/>
    <s v="YES"/>
    <x v="2"/>
    <s v="Match"/>
    <n v="6"/>
    <s v="Within Target"/>
  </r>
  <r>
    <n v="2112"/>
    <n v="79"/>
    <x v="0"/>
    <s v="Orthopedics"/>
    <x v="50"/>
    <d v="2024-02-27T00:00:00"/>
    <n v="5"/>
    <s v="No"/>
    <n v="18216"/>
    <x v="3"/>
    <s v="NO"/>
    <x v="3"/>
    <s v="Match"/>
    <n v="6"/>
    <s v="Within Target"/>
  </r>
  <r>
    <n v="2113"/>
    <n v="39"/>
    <x v="0"/>
    <s v="Pediatrics"/>
    <x v="63"/>
    <d v="2024-03-07T00:00:00"/>
    <n v="5"/>
    <s v="Yes"/>
    <n v="13696"/>
    <x v="2"/>
    <s v="YES"/>
    <x v="3"/>
    <s v="Match"/>
    <n v="3"/>
    <s v="Above Target"/>
  </r>
  <r>
    <n v="2114"/>
    <n v="14"/>
    <x v="1"/>
    <s v="Orthopedics"/>
    <x v="25"/>
    <d v="2024-03-25T00:00:00"/>
    <n v="2"/>
    <s v="No"/>
    <n v="11535"/>
    <x v="3"/>
    <s v="NO"/>
    <x v="2"/>
    <s v="Match"/>
    <n v="6"/>
    <s v="Within Target"/>
  </r>
  <r>
    <n v="2115"/>
    <n v="67"/>
    <x v="1"/>
    <s v="neurology"/>
    <x v="25"/>
    <d v="2024-03-29T00:00:00"/>
    <n v="6"/>
    <s v="Yes"/>
    <n v="19365"/>
    <x v="5"/>
    <s v="YES"/>
    <x v="7"/>
    <s v="Match"/>
    <n v="7"/>
    <s v="Within Target"/>
  </r>
  <r>
    <n v="2116"/>
    <n v="21"/>
    <x v="1"/>
    <s v="Orthopedics"/>
    <x v="64"/>
    <d v="2024-02-26T00:00:00"/>
    <n v="7"/>
    <s v="No"/>
    <n v="20797"/>
    <x v="3"/>
    <s v="NO"/>
    <x v="4"/>
    <s v="Match"/>
    <n v="6"/>
    <s v="Above Target"/>
  </r>
  <r>
    <n v="2117"/>
    <n v="69"/>
    <x v="1"/>
    <s v="er"/>
    <x v="65"/>
    <d v="2024-03-11T00:00:00"/>
    <n v="3"/>
    <s v="Yes"/>
    <n v="5457"/>
    <x v="0"/>
    <s v="YES"/>
    <x v="1"/>
    <s v="Match"/>
    <n v="2"/>
    <s v="Above Target"/>
  </r>
  <r>
    <n v="2118"/>
    <n v="51"/>
    <x v="0"/>
    <s v="Oncology"/>
    <x v="8"/>
    <d v="2024-01-26T00:00:00"/>
    <n v="4"/>
    <s v="Yes"/>
    <n v="13434"/>
    <x v="6"/>
    <s v="YES"/>
    <x v="6"/>
    <s v="Match"/>
    <n v="6"/>
    <s v="Within Target"/>
  </r>
  <r>
    <n v="2119"/>
    <n v="4"/>
    <x v="0"/>
    <s v="Orthopedics"/>
    <x v="15"/>
    <d v="2024-04-10T00:00:00"/>
    <n v="12"/>
    <s v="No"/>
    <n v="21164"/>
    <x v="3"/>
    <s v="NO"/>
    <x v="13"/>
    <s v="Match"/>
    <n v="6"/>
    <s v="Above Target"/>
  </r>
  <r>
    <n v="2120"/>
    <n v="69"/>
    <x v="0"/>
    <s v="Pediatrics"/>
    <x v="64"/>
    <d v="2024-02-20T00:00:00"/>
    <n v="1"/>
    <s v="No"/>
    <m/>
    <x v="2"/>
    <s v="NO"/>
    <x v="0"/>
    <s v="Match"/>
    <n v="3"/>
    <s v="Within Target"/>
  </r>
  <r>
    <n v="2121"/>
    <n v="12"/>
    <x v="1"/>
    <s v="er"/>
    <x v="66"/>
    <d v="2024-01-14T00:00:00"/>
    <m/>
    <s v="Yes"/>
    <n v="3622"/>
    <x v="0"/>
    <s v="YES"/>
    <x v="0"/>
    <s v=""/>
    <n v="2"/>
    <s v="Within Target"/>
  </r>
  <r>
    <n v="2122"/>
    <n v="37"/>
    <x v="0"/>
    <s v="Pediatrics"/>
    <x v="60"/>
    <d v="2024-02-20T00:00:00"/>
    <n v="3"/>
    <s v="No"/>
    <n v="10627"/>
    <x v="2"/>
    <s v="NO"/>
    <x v="1"/>
    <s v="Match"/>
    <n v="3"/>
    <s v="Within Target"/>
  </r>
  <r>
    <n v="2123"/>
    <n v="4"/>
    <x v="1"/>
    <s v="Oncology"/>
    <x v="66"/>
    <d v="2024-01-20T00:00:00"/>
    <n v="7"/>
    <s v="No"/>
    <n v="16787"/>
    <x v="6"/>
    <s v="NO"/>
    <x v="4"/>
    <s v="Match"/>
    <n v="6"/>
    <s v="Above Target"/>
  </r>
  <r>
    <n v="2124"/>
    <n v="37"/>
    <x v="0"/>
    <s v="er"/>
    <x v="52"/>
    <d v="2024-01-03T00:00:00"/>
    <n v="2"/>
    <s v="No"/>
    <n v="3728"/>
    <x v="0"/>
    <s v="NO"/>
    <x v="2"/>
    <s v="Match"/>
    <n v="2"/>
    <s v="Within Target"/>
  </r>
  <r>
    <n v="2125"/>
    <n v="64"/>
    <x v="1"/>
    <s v="Oncology"/>
    <x v="38"/>
    <d v="2024-02-14T00:00:00"/>
    <n v="11"/>
    <s v="No"/>
    <n v="26660"/>
    <x v="6"/>
    <s v="NO"/>
    <x v="9"/>
    <s v="Match"/>
    <n v="6"/>
    <s v="Above Target"/>
  </r>
  <r>
    <n v="2126"/>
    <n v="82"/>
    <x v="0"/>
    <s v="er"/>
    <x v="6"/>
    <d v="2024-04-01T00:00:00"/>
    <n v="2"/>
    <s v="No"/>
    <n v="6740"/>
    <x v="0"/>
    <s v="NO"/>
    <x v="2"/>
    <s v="Match"/>
    <n v="2"/>
    <s v="Within Target"/>
  </r>
  <r>
    <n v="2127"/>
    <n v="12"/>
    <x v="1"/>
    <s v="Pediatrics"/>
    <x v="37"/>
    <d v="2024-01-07T00:00:00"/>
    <n v="3"/>
    <s v="No"/>
    <n v="8393"/>
    <x v="2"/>
    <s v="NO"/>
    <x v="1"/>
    <s v="Match"/>
    <n v="3"/>
    <s v="Within Target"/>
  </r>
  <r>
    <n v="2128"/>
    <n v="30"/>
    <x v="1"/>
    <s v="Orthopedics"/>
    <x v="10"/>
    <d v="2024-03-20T00:00:00"/>
    <n v="11"/>
    <s v="No"/>
    <m/>
    <x v="3"/>
    <s v="NO"/>
    <x v="9"/>
    <s v="Match"/>
    <n v="6"/>
    <s v="Above Target"/>
  </r>
  <r>
    <n v="2129"/>
    <n v="58"/>
    <x v="1"/>
    <s v="Orthopedics"/>
    <x v="7"/>
    <d v="2024-03-09T00:00:00"/>
    <n v="9"/>
    <s v="No"/>
    <n v="21220"/>
    <x v="3"/>
    <s v="NO"/>
    <x v="5"/>
    <s v="Match"/>
    <n v="6"/>
    <s v="Above Target"/>
  </r>
  <r>
    <n v="2130"/>
    <n v="65"/>
    <x v="0"/>
    <s v="neurology"/>
    <x v="67"/>
    <d v="2024-02-22T00:00:00"/>
    <n v="14"/>
    <s v="No"/>
    <n v="38312"/>
    <x v="5"/>
    <s v="NO"/>
    <x v="11"/>
    <s v="Match"/>
    <n v="7"/>
    <s v="Above Target"/>
  </r>
  <r>
    <n v="2131"/>
    <n v="45"/>
    <x v="0"/>
    <s v="Orthopedics"/>
    <x v="54"/>
    <d v="2024-02-16T00:00:00"/>
    <n v="5"/>
    <s v="No"/>
    <n v="13077"/>
    <x v="3"/>
    <s v="NO"/>
    <x v="3"/>
    <s v="Match"/>
    <n v="6"/>
    <s v="Within Target"/>
  </r>
  <r>
    <n v="2132"/>
    <n v="39"/>
    <x v="1"/>
    <s v="er"/>
    <x v="23"/>
    <d v="2024-02-06T00:00:00"/>
    <n v="1"/>
    <s v="Yes"/>
    <n v="3393"/>
    <x v="0"/>
    <s v="YES"/>
    <x v="0"/>
    <s v="Match"/>
    <n v="2"/>
    <s v="Within Target"/>
  </r>
  <r>
    <n v="2133"/>
    <n v="56"/>
    <x v="0"/>
    <s v="Oncology"/>
    <x v="58"/>
    <d v="2024-03-27T00:00:00"/>
    <n v="6"/>
    <s v="No"/>
    <n v="16366"/>
    <x v="6"/>
    <s v="NO"/>
    <x v="7"/>
    <s v="Match"/>
    <n v="6"/>
    <s v="Within Target"/>
  </r>
  <r>
    <n v="2134"/>
    <n v="56"/>
    <x v="1"/>
    <s v="Orthopedics"/>
    <x v="68"/>
    <d v="2024-04-07T00:00:00"/>
    <n v="12"/>
    <s v="No"/>
    <n v="34085"/>
    <x v="3"/>
    <s v="NO"/>
    <x v="13"/>
    <s v="Match"/>
    <n v="6"/>
    <s v="Above Target"/>
  </r>
  <r>
    <n v="2135"/>
    <n v="34"/>
    <x v="0"/>
    <s v="er"/>
    <x v="53"/>
    <d v="2024-02-03T00:00:00"/>
    <n v="2"/>
    <s v="No"/>
    <n v="6398"/>
    <x v="0"/>
    <s v="NO"/>
    <x v="2"/>
    <s v="Match"/>
    <n v="2"/>
    <s v="Within Target"/>
  </r>
  <r>
    <n v="2136"/>
    <n v="53"/>
    <x v="0"/>
    <s v="Pediatrics"/>
    <x v="54"/>
    <d v="2024-02-12T00:00:00"/>
    <n v="1"/>
    <s v="No"/>
    <n v="6962"/>
    <x v="2"/>
    <s v="NO"/>
    <x v="0"/>
    <s v="Match"/>
    <n v="3"/>
    <s v="Within Target"/>
  </r>
  <r>
    <n v="2137"/>
    <n v="26"/>
    <x v="1"/>
    <s v="Cardiology"/>
    <x v="48"/>
    <d v="2024-03-23T00:00:00"/>
    <n v="9"/>
    <s v="No"/>
    <m/>
    <x v="1"/>
    <s v="NO"/>
    <x v="5"/>
    <s v="Match"/>
    <n v="5"/>
    <s v="Above Target"/>
  </r>
  <r>
    <n v="2138"/>
    <n v="59"/>
    <x v="0"/>
    <s v="Pediatrics"/>
    <x v="33"/>
    <d v="2024-01-28T00:00:00"/>
    <n v="4"/>
    <s v="No"/>
    <n v="9293"/>
    <x v="2"/>
    <s v="NO"/>
    <x v="6"/>
    <s v="Match"/>
    <n v="3"/>
    <s v="Above Target"/>
  </r>
  <r>
    <n v="2139"/>
    <n v="52"/>
    <x v="0"/>
    <s v="Cardiology"/>
    <x v="5"/>
    <d v="2024-01-18T00:00:00"/>
    <n v="8"/>
    <s v="No"/>
    <n v="27126"/>
    <x v="1"/>
    <s v="NO"/>
    <x v="12"/>
    <s v="Match"/>
    <n v="5"/>
    <s v="Above Target"/>
  </r>
  <r>
    <n v="2140"/>
    <n v="52"/>
    <x v="0"/>
    <s v="er"/>
    <x v="7"/>
    <d v="2024-03-01T00:00:00"/>
    <n v="1"/>
    <s v="No"/>
    <n v="4399"/>
    <x v="0"/>
    <s v="NO"/>
    <x v="0"/>
    <s v="Match"/>
    <n v="2"/>
    <s v="Within Target"/>
  </r>
  <r>
    <n v="2141"/>
    <n v="19"/>
    <x v="1"/>
    <s v="Pediatrics"/>
    <x v="13"/>
    <d v="2024-03-26T00:00:00"/>
    <n v="4"/>
    <s v="No"/>
    <n v="10764"/>
    <x v="2"/>
    <s v="NO"/>
    <x v="6"/>
    <s v="Match"/>
    <n v="3"/>
    <s v="Above Target"/>
  </r>
  <r>
    <n v="2142"/>
    <n v="30"/>
    <x v="1"/>
    <s v="Pediatrics"/>
    <x v="69"/>
    <d v="2024-02-21T00:00:00"/>
    <n v="3"/>
    <s v="No"/>
    <m/>
    <x v="2"/>
    <s v="NO"/>
    <x v="1"/>
    <s v="Match"/>
    <n v="3"/>
    <s v="Within Target"/>
  </r>
  <r>
    <n v="2143"/>
    <n v="39"/>
    <x v="1"/>
    <s v="er"/>
    <x v="40"/>
    <d v="2024-03-05T00:00:00"/>
    <n v="2"/>
    <s v="No"/>
    <n v="5198"/>
    <x v="0"/>
    <s v="NO"/>
    <x v="2"/>
    <s v="Match"/>
    <n v="2"/>
    <s v="Within Target"/>
  </r>
  <r>
    <n v="2144"/>
    <n v="11"/>
    <x v="1"/>
    <s v="Orthopedics"/>
    <x v="65"/>
    <d v="2024-03-15T00:00:00"/>
    <n v="7"/>
    <s v="No"/>
    <m/>
    <x v="3"/>
    <s v="NO"/>
    <x v="4"/>
    <s v="Match"/>
    <n v="6"/>
    <s v="Above Target"/>
  </r>
  <r>
    <n v="2145"/>
    <n v="13"/>
    <x v="0"/>
    <s v="Orthopedics"/>
    <x v="33"/>
    <d v="2024-02-02T00:00:00"/>
    <n v="9"/>
    <s v="No"/>
    <n v="18535"/>
    <x v="3"/>
    <s v="NO"/>
    <x v="5"/>
    <s v="Match"/>
    <n v="6"/>
    <s v="Above Target"/>
  </r>
  <r>
    <n v="2146"/>
    <n v="78"/>
    <x v="0"/>
    <s v="Pediatrics"/>
    <x v="41"/>
    <d v="2024-03-14T00:00:00"/>
    <n v="3"/>
    <s v="No"/>
    <n v="8295"/>
    <x v="2"/>
    <s v="NO"/>
    <x v="1"/>
    <s v="Match"/>
    <n v="3"/>
    <s v="Within Target"/>
  </r>
  <r>
    <n v="2147"/>
    <n v="16"/>
    <x v="1"/>
    <s v="er"/>
    <x v="16"/>
    <d v="2024-01-31T00:00:00"/>
    <n v="1"/>
    <s v="No"/>
    <n v="3860"/>
    <x v="0"/>
    <s v="NO"/>
    <x v="0"/>
    <s v="Match"/>
    <n v="2"/>
    <s v="Within Target"/>
  </r>
  <r>
    <n v="2148"/>
    <n v="22"/>
    <x v="0"/>
    <s v="Orthopedics"/>
    <x v="54"/>
    <d v="2024-02-20T00:00:00"/>
    <n v="9"/>
    <s v="No"/>
    <n v="25833"/>
    <x v="3"/>
    <s v="NO"/>
    <x v="5"/>
    <s v="Match"/>
    <n v="6"/>
    <s v="Above Target"/>
  </r>
  <r>
    <n v="2149"/>
    <n v="87"/>
    <x v="0"/>
    <s v="Orthopedics"/>
    <x v="13"/>
    <d v="2024-03-29T00:00:00"/>
    <n v="7"/>
    <s v="No"/>
    <n v="13948"/>
    <x v="3"/>
    <s v="NO"/>
    <x v="4"/>
    <s v="Match"/>
    <n v="6"/>
    <s v="Above Target"/>
  </r>
  <r>
    <n v="2150"/>
    <n v="13"/>
    <x v="1"/>
    <s v="er"/>
    <x v="34"/>
    <d v="2024-01-20T00:00:00"/>
    <n v="1"/>
    <s v="No"/>
    <n v="4731"/>
    <x v="0"/>
    <s v="NO"/>
    <x v="0"/>
    <s v="Match"/>
    <n v="2"/>
    <s v="Within Target"/>
  </r>
  <r>
    <n v="2151"/>
    <n v="68"/>
    <x v="0"/>
    <s v="neurology"/>
    <x v="26"/>
    <d v="2024-03-04T00:00:00"/>
    <n v="8"/>
    <s v="No"/>
    <n v="24079"/>
    <x v="5"/>
    <s v="NO"/>
    <x v="12"/>
    <s v="Match"/>
    <n v="7"/>
    <s v="Above Target"/>
  </r>
  <r>
    <n v="2152"/>
    <n v="65"/>
    <x v="1"/>
    <s v="Oncology"/>
    <x v="17"/>
    <d v="2024-02-19T00:00:00"/>
    <n v="5"/>
    <s v="No"/>
    <n v="15082"/>
    <x v="6"/>
    <s v="NO"/>
    <x v="3"/>
    <s v="Match"/>
    <n v="6"/>
    <s v="Within Target"/>
  </r>
  <r>
    <n v="2153"/>
    <n v="12"/>
    <x v="0"/>
    <s v="er"/>
    <x v="41"/>
    <m/>
    <n v="2"/>
    <s v="No"/>
    <n v="4518"/>
    <x v="0"/>
    <s v="NO"/>
    <x v="10"/>
    <s v=""/>
    <n v="2"/>
    <s v=""/>
  </r>
  <r>
    <n v="2154"/>
    <n v="78"/>
    <x v="0"/>
    <s v="Oncology"/>
    <x v="70"/>
    <d v="2024-03-21T00:00:00"/>
    <n v="11"/>
    <s v="No"/>
    <n v="23194"/>
    <x v="6"/>
    <s v="NO"/>
    <x v="9"/>
    <s v="Match"/>
    <n v="6"/>
    <s v="Above Target"/>
  </r>
  <r>
    <n v="2155"/>
    <n v="6"/>
    <x v="1"/>
    <s v="Pediatrics"/>
    <x v="71"/>
    <d v="2024-01-24T00:00:00"/>
    <n v="1"/>
    <s v="No"/>
    <n v="5038"/>
    <x v="2"/>
    <s v="NO"/>
    <x v="0"/>
    <s v="Match"/>
    <n v="3"/>
    <s v="Within Target"/>
  </r>
  <r>
    <n v="2156"/>
    <n v="18"/>
    <x v="1"/>
    <s v="Oncology"/>
    <x v="38"/>
    <d v="2024-02-18T00:00:00"/>
    <n v="15"/>
    <s v="No"/>
    <n v="35215"/>
    <x v="6"/>
    <s v="NO"/>
    <x v="14"/>
    <s v="Match"/>
    <n v="6"/>
    <s v="Above Target"/>
  </r>
  <r>
    <n v="2157"/>
    <n v="7"/>
    <x v="1"/>
    <s v="Oncology"/>
    <x v="61"/>
    <d v="2024-03-09T00:00:00"/>
    <n v="2"/>
    <s v="No"/>
    <n v="13402"/>
    <x v="6"/>
    <s v="NO"/>
    <x v="2"/>
    <s v="Match"/>
    <n v="6"/>
    <s v="Within Target"/>
  </r>
  <r>
    <n v="2158"/>
    <n v="77"/>
    <x v="0"/>
    <s v="er"/>
    <x v="50"/>
    <d v="2024-02-24T00:00:00"/>
    <n v="2"/>
    <s v="Yes"/>
    <n v="5868"/>
    <x v="0"/>
    <s v="YES"/>
    <x v="2"/>
    <s v="Match"/>
    <n v="2"/>
    <s v="Within Target"/>
  </r>
  <r>
    <n v="2159"/>
    <n v="86"/>
    <x v="0"/>
    <s v="Cardiology"/>
    <x v="31"/>
    <d v="2024-01-31T00:00:00"/>
    <n v="3"/>
    <s v="Yes"/>
    <n v="11572"/>
    <x v="1"/>
    <s v="YES"/>
    <x v="1"/>
    <s v="Match"/>
    <n v="5"/>
    <s v="Within Target"/>
  </r>
  <r>
    <n v="2160"/>
    <n v="7"/>
    <x v="1"/>
    <s v="Pediatrics"/>
    <x v="15"/>
    <d v="2024-03-31T00:00:00"/>
    <n v="2"/>
    <s v="No"/>
    <n v="5944"/>
    <x v="2"/>
    <s v="NO"/>
    <x v="2"/>
    <s v="Match"/>
    <n v="3"/>
    <s v="Within Target"/>
  </r>
  <r>
    <n v="2161"/>
    <n v="33"/>
    <x v="0"/>
    <s v="Pediatrics"/>
    <x v="72"/>
    <d v="2024-01-06T00:00:00"/>
    <n v="1"/>
    <s v="Yes"/>
    <n v="5529"/>
    <x v="2"/>
    <s v="YES"/>
    <x v="0"/>
    <s v="Match"/>
    <n v="3"/>
    <s v="Within Target"/>
  </r>
  <r>
    <n v="2162"/>
    <n v="63"/>
    <x v="0"/>
    <s v="neurology"/>
    <x v="60"/>
    <d v="2024-02-29T00:00:00"/>
    <n v="12"/>
    <s v="No"/>
    <n v="31430"/>
    <x v="5"/>
    <s v="NO"/>
    <x v="13"/>
    <s v="Match"/>
    <n v="7"/>
    <s v="Above Target"/>
  </r>
  <r>
    <n v="2163"/>
    <n v="21"/>
    <x v="1"/>
    <s v="er"/>
    <x v="64"/>
    <d v="2024-02-21T00:00:00"/>
    <n v="2"/>
    <s v="No"/>
    <n v="6503"/>
    <x v="0"/>
    <s v="NO"/>
    <x v="2"/>
    <s v="Match"/>
    <n v="2"/>
    <s v="Within Target"/>
  </r>
  <r>
    <n v="2164"/>
    <n v="77"/>
    <x v="1"/>
    <s v="Oncology"/>
    <x v="19"/>
    <d v="2024-01-17T00:00:00"/>
    <n v="15"/>
    <s v="Yes"/>
    <n v="32877"/>
    <x v="6"/>
    <s v="YES"/>
    <x v="14"/>
    <s v="Match"/>
    <n v="6"/>
    <s v="Above Target"/>
  </r>
  <r>
    <n v="2165"/>
    <n v="78"/>
    <x v="0"/>
    <s v="er"/>
    <x v="45"/>
    <d v="2024-02-09T00:00:00"/>
    <n v="3"/>
    <s v="Yes"/>
    <n v="6562"/>
    <x v="0"/>
    <s v="YES"/>
    <x v="1"/>
    <s v="Match"/>
    <n v="2"/>
    <s v="Above Target"/>
  </r>
  <r>
    <n v="2166"/>
    <n v="6"/>
    <x v="1"/>
    <s v="Orthopedics"/>
    <x v="48"/>
    <d v="2024-03-18T00:00:00"/>
    <n v="4"/>
    <s v="No"/>
    <n v="16686"/>
    <x v="3"/>
    <s v="NO"/>
    <x v="6"/>
    <s v="Match"/>
    <n v="6"/>
    <s v="Within Target"/>
  </r>
  <r>
    <n v="2167"/>
    <n v="63"/>
    <x v="1"/>
    <s v="Orthopedics"/>
    <x v="16"/>
    <d v="2024-02-05T00:00:00"/>
    <n v="6"/>
    <s v="No"/>
    <n v="18406"/>
    <x v="3"/>
    <s v="NO"/>
    <x v="7"/>
    <s v="Match"/>
    <n v="6"/>
    <s v="Within Target"/>
  </r>
  <r>
    <n v="2168"/>
    <n v="50"/>
    <x v="1"/>
    <s v="Oncology"/>
    <x v="29"/>
    <d v="2024-01-22T00:00:00"/>
    <n v="10"/>
    <s v="No"/>
    <n v="19456"/>
    <x v="6"/>
    <s v="NO"/>
    <x v="8"/>
    <s v="Match"/>
    <n v="6"/>
    <s v="Above Target"/>
  </r>
  <r>
    <n v="2169"/>
    <n v="42"/>
    <x v="1"/>
    <s v="Oncology"/>
    <x v="18"/>
    <d v="2024-03-21T00:00:00"/>
    <n v="5"/>
    <s v="No"/>
    <n v="15353"/>
    <x v="6"/>
    <s v="NO"/>
    <x v="3"/>
    <s v="Match"/>
    <n v="6"/>
    <s v="Within Target"/>
  </r>
  <r>
    <n v="2170"/>
    <n v="52"/>
    <x v="0"/>
    <s v="Orthopedics"/>
    <x v="57"/>
    <d v="2024-01-15T00:00:00"/>
    <n v="9"/>
    <s v="No"/>
    <n v="18014"/>
    <x v="3"/>
    <s v="NO"/>
    <x v="5"/>
    <s v="Match"/>
    <n v="6"/>
    <s v="Above Target"/>
  </r>
  <r>
    <n v="2171"/>
    <n v="45"/>
    <x v="1"/>
    <s v="Oncology"/>
    <x v="73"/>
    <d v="2024-03-20T00:00:00"/>
    <n v="2"/>
    <s v="Yes"/>
    <n v="13121"/>
    <x v="6"/>
    <s v="YES"/>
    <x v="2"/>
    <s v="Match"/>
    <n v="6"/>
    <s v="Within Target"/>
  </r>
  <r>
    <n v="2172"/>
    <n v="36"/>
    <x v="1"/>
    <s v=" Cardiology  "/>
    <x v="4"/>
    <d v="2024-03-02T00:00:00"/>
    <n v="4"/>
    <s v="No"/>
    <n v="12801"/>
    <x v="4"/>
    <s v="NO"/>
    <x v="6"/>
    <s v="Match"/>
    <n v="5"/>
    <s v="Within Target"/>
  </r>
  <r>
    <n v="2173"/>
    <n v="72"/>
    <x v="1"/>
    <s v="Pediatrics"/>
    <x v="74"/>
    <d v="2024-03-03T00:00:00"/>
    <n v="4"/>
    <s v="No"/>
    <n v="9091"/>
    <x v="2"/>
    <s v="NO"/>
    <x v="6"/>
    <s v="Match"/>
    <n v="3"/>
    <s v="Above Target"/>
  </r>
  <r>
    <n v="2174"/>
    <n v="33"/>
    <x v="1"/>
    <s v="Oncology"/>
    <x v="16"/>
    <d v="2024-02-11T00:00:00"/>
    <n v="12"/>
    <s v="Yes"/>
    <n v="32749"/>
    <x v="6"/>
    <s v="YES"/>
    <x v="13"/>
    <s v="Match"/>
    <n v="6"/>
    <s v="Above Target"/>
  </r>
  <r>
    <n v="2175"/>
    <n v="29"/>
    <x v="0"/>
    <s v="Cardiology"/>
    <x v="49"/>
    <d v="2024-02-09T00:00:00"/>
    <n v="7"/>
    <s v="Yes"/>
    <m/>
    <x v="1"/>
    <s v="YES"/>
    <x v="4"/>
    <s v="Match"/>
    <n v="5"/>
    <s v="Above Target"/>
  </r>
  <r>
    <n v="2176"/>
    <n v="83"/>
    <x v="1"/>
    <s v="Cardiology"/>
    <x v="66"/>
    <d v="2024-01-17T00:00:00"/>
    <n v="4"/>
    <s v="No"/>
    <n v="13767"/>
    <x v="1"/>
    <s v="NO"/>
    <x v="6"/>
    <s v="Match"/>
    <n v="5"/>
    <s v="Within Target"/>
  </r>
  <r>
    <n v="2177"/>
    <n v="84"/>
    <x v="0"/>
    <s v="er"/>
    <x v="54"/>
    <d v="2024-02-12T00:00:00"/>
    <n v="1"/>
    <s v="No"/>
    <n v="3621"/>
    <x v="0"/>
    <s v="NO"/>
    <x v="0"/>
    <s v="Match"/>
    <n v="2"/>
    <s v="Within Target"/>
  </r>
  <r>
    <n v="2178"/>
    <n v="87"/>
    <x v="0"/>
    <s v="er"/>
    <x v="22"/>
    <d v="2024-01-26T00:00:00"/>
    <n v="1"/>
    <s v="Yes"/>
    <n v="3210"/>
    <x v="0"/>
    <s v="YES"/>
    <x v="0"/>
    <s v="Match"/>
    <n v="2"/>
    <s v="Within Target"/>
  </r>
  <r>
    <n v="2179"/>
    <n v="58"/>
    <x v="0"/>
    <s v="er"/>
    <x v="27"/>
    <d v="2024-01-06T00:00:00"/>
    <n v="3"/>
    <s v="Yes"/>
    <n v="7145"/>
    <x v="0"/>
    <s v="YES"/>
    <x v="1"/>
    <s v="Match"/>
    <n v="2"/>
    <s v="Above Target"/>
  </r>
  <r>
    <n v="2180"/>
    <n v="29"/>
    <x v="0"/>
    <s v="Orthopedics"/>
    <x v="4"/>
    <d v="2024-03-08T00:00:00"/>
    <n v="10"/>
    <s v="No"/>
    <n v="26973"/>
    <x v="3"/>
    <s v="NO"/>
    <x v="8"/>
    <s v="Match"/>
    <n v="6"/>
    <s v="Above Target"/>
  </r>
  <r>
    <n v="2181"/>
    <n v="74"/>
    <x v="1"/>
    <s v=" Neurology  "/>
    <x v="8"/>
    <d v="2024-01-29T00:00:00"/>
    <n v="7"/>
    <s v="No"/>
    <n v="19491"/>
    <x v="10"/>
    <s v="NO"/>
    <x v="4"/>
    <s v="Match"/>
    <n v="7"/>
    <s v="Within Target"/>
  </r>
  <r>
    <n v="2182"/>
    <n v="86"/>
    <x v="0"/>
    <s v="Oncology"/>
    <x v="63"/>
    <d v="2024-03-17T00:00:00"/>
    <n v="15"/>
    <s v="No"/>
    <n v="31650"/>
    <x v="6"/>
    <s v="NO"/>
    <x v="14"/>
    <s v="Match"/>
    <n v="6"/>
    <s v="Above Target"/>
  </r>
  <r>
    <n v="2183"/>
    <n v="31"/>
    <x v="0"/>
    <s v="er"/>
    <x v="43"/>
    <d v="2024-02-09T00:00:00"/>
    <n v="2"/>
    <s v="No"/>
    <n v="5438"/>
    <x v="0"/>
    <s v="NO"/>
    <x v="2"/>
    <s v="Match"/>
    <n v="2"/>
    <s v="Within Target"/>
  </r>
  <r>
    <n v="2184"/>
    <n v="65"/>
    <x v="1"/>
    <s v="Oncology"/>
    <x v="24"/>
    <d v="2024-01-27T00:00:00"/>
    <n v="9"/>
    <s v="Yes"/>
    <n v="27088"/>
    <x v="6"/>
    <s v="YES"/>
    <x v="5"/>
    <s v="Match"/>
    <n v="6"/>
    <s v="Above Target"/>
  </r>
  <r>
    <n v="2185"/>
    <n v="74"/>
    <x v="0"/>
    <s v="Orthopedics"/>
    <x v="33"/>
    <d v="2024-02-03T00:00:00"/>
    <n v="10"/>
    <s v="No"/>
    <n v="20192"/>
    <x v="3"/>
    <s v="NO"/>
    <x v="8"/>
    <s v="Match"/>
    <n v="6"/>
    <s v="Above Target"/>
  </r>
  <r>
    <n v="2186"/>
    <n v="36"/>
    <x v="0"/>
    <s v="Orthopedics"/>
    <x v="24"/>
    <d v="2024-01-29T00:00:00"/>
    <m/>
    <s v="No"/>
    <n v="32919"/>
    <x v="3"/>
    <s v="NO"/>
    <x v="9"/>
    <s v=""/>
    <n v="6"/>
    <s v="Above Target"/>
  </r>
  <r>
    <n v="2187"/>
    <n v="67"/>
    <x v="1"/>
    <s v="Pediatrics"/>
    <x v="75"/>
    <d v="2024-01-13T00:00:00"/>
    <n v="5"/>
    <s v="No"/>
    <n v="11707"/>
    <x v="2"/>
    <s v="NO"/>
    <x v="3"/>
    <s v="Match"/>
    <n v="3"/>
    <s v="Above Target"/>
  </r>
  <r>
    <n v="2188"/>
    <n v="62"/>
    <x v="0"/>
    <s v="Pediatrics"/>
    <x v="28"/>
    <d v="2024-02-06T00:00:00"/>
    <n v="2"/>
    <s v="No"/>
    <n v="6577"/>
    <x v="2"/>
    <s v="NO"/>
    <x v="2"/>
    <s v="Match"/>
    <n v="3"/>
    <s v="Within Target"/>
  </r>
  <r>
    <n v="2189"/>
    <n v="67"/>
    <x v="1"/>
    <s v="Oncology"/>
    <x v="5"/>
    <d v="2024-01-13T00:00:00"/>
    <n v="3"/>
    <s v="No"/>
    <n v="14575"/>
    <x v="6"/>
    <s v="NO"/>
    <x v="1"/>
    <s v="Match"/>
    <n v="6"/>
    <s v="Within Target"/>
  </r>
  <r>
    <n v="2190"/>
    <n v="74"/>
    <x v="0"/>
    <s v="neurology"/>
    <x v="44"/>
    <d v="2024-01-28T00:00:00"/>
    <m/>
    <s v="No"/>
    <n v="35066"/>
    <x v="5"/>
    <s v="NO"/>
    <x v="11"/>
    <s v=""/>
    <n v="7"/>
    <s v="Above Target"/>
  </r>
  <r>
    <n v="2191"/>
    <n v="29"/>
    <x v="0"/>
    <s v="Orthopedics"/>
    <x v="44"/>
    <d v="2024-01-20T00:00:00"/>
    <n v="6"/>
    <s v="No"/>
    <n v="13005"/>
    <x v="3"/>
    <s v="NO"/>
    <x v="7"/>
    <s v="Match"/>
    <n v="6"/>
    <s v="Within Target"/>
  </r>
  <r>
    <n v="2192"/>
    <n v="77"/>
    <x v="1"/>
    <s v="Oncology"/>
    <x v="1"/>
    <d v="2024-02-13T00:00:00"/>
    <n v="13"/>
    <s v="No"/>
    <n v="31514"/>
    <x v="6"/>
    <s v="NO"/>
    <x v="15"/>
    <s v="Match"/>
    <n v="6"/>
    <s v="Above Target"/>
  </r>
  <r>
    <n v="2193"/>
    <n v="75"/>
    <x v="1"/>
    <s v="Cardiology"/>
    <x v="76"/>
    <d v="2024-01-19T00:00:00"/>
    <n v="3"/>
    <s v="No"/>
    <n v="12849"/>
    <x v="1"/>
    <s v="NO"/>
    <x v="1"/>
    <s v="Match"/>
    <n v="5"/>
    <s v="Within Target"/>
  </r>
  <r>
    <n v="2194"/>
    <n v="51"/>
    <x v="0"/>
    <s v=" Cardiology  "/>
    <x v="13"/>
    <d v="2024-03-30T00:00:00"/>
    <n v="8"/>
    <s v="No"/>
    <n v="26895"/>
    <x v="4"/>
    <s v="NO"/>
    <x v="12"/>
    <s v="Match"/>
    <n v="5"/>
    <s v="Above Target"/>
  </r>
  <r>
    <n v="2195"/>
    <n v="47"/>
    <x v="1"/>
    <s v="er"/>
    <x v="1"/>
    <d v="2024-02-01T00:00:00"/>
    <n v="1"/>
    <s v="No"/>
    <n v="5402"/>
    <x v="0"/>
    <s v="NO"/>
    <x v="0"/>
    <s v="Match"/>
    <n v="2"/>
    <s v="Within Target"/>
  </r>
  <r>
    <n v="2196"/>
    <n v="42"/>
    <x v="0"/>
    <s v="Pediatrics"/>
    <x v="62"/>
    <d v="2024-02-17T00:00:00"/>
    <n v="2"/>
    <s v="No"/>
    <n v="7613"/>
    <x v="2"/>
    <s v="NO"/>
    <x v="2"/>
    <s v="Match"/>
    <n v="3"/>
    <s v="Within Target"/>
  </r>
  <r>
    <n v="2197"/>
    <n v="65"/>
    <x v="0"/>
    <s v=" Orthopedics  "/>
    <x v="24"/>
    <d v="2024-01-26T00:00:00"/>
    <n v="8"/>
    <s v="No"/>
    <n v="23128"/>
    <x v="7"/>
    <s v="NO"/>
    <x v="12"/>
    <s v="Match"/>
    <n v="6"/>
    <s v="Above Target"/>
  </r>
  <r>
    <n v="2198"/>
    <n v="83"/>
    <x v="1"/>
    <s v="Pediatrics"/>
    <x v="77"/>
    <d v="2024-03-23T00:00:00"/>
    <m/>
    <s v="No"/>
    <n v="7391"/>
    <x v="2"/>
    <s v="NO"/>
    <x v="1"/>
    <s v=""/>
    <n v="3"/>
    <s v="Within Target"/>
  </r>
  <r>
    <n v="2199"/>
    <n v="6"/>
    <x v="1"/>
    <s v="Cardiology"/>
    <x v="78"/>
    <d v="2024-02-16T00:00:00"/>
    <n v="7"/>
    <s v="No"/>
    <n v="16345"/>
    <x v="1"/>
    <s v="NO"/>
    <x v="4"/>
    <s v="Match"/>
    <n v="5"/>
    <s v="Above Target"/>
  </r>
  <r>
    <n v="2200"/>
    <n v="60"/>
    <x v="0"/>
    <s v="er"/>
    <x v="76"/>
    <d v="2024-01-18T00:00:00"/>
    <n v="2"/>
    <s v="No"/>
    <n v="6577"/>
    <x v="0"/>
    <s v="NO"/>
    <x v="2"/>
    <s v="Match"/>
    <n v="2"/>
    <s v="Within Target"/>
  </r>
  <r>
    <n v="2201"/>
    <n v="70"/>
    <x v="1"/>
    <s v="er"/>
    <x v="39"/>
    <d v="2024-03-22T00:00:00"/>
    <n v="3"/>
    <s v="No"/>
    <n v="7185"/>
    <x v="0"/>
    <s v="NO"/>
    <x v="1"/>
    <s v="Match"/>
    <n v="2"/>
    <s v="Above Target"/>
  </r>
  <r>
    <n v="2202"/>
    <n v="62"/>
    <x v="1"/>
    <s v="neurology"/>
    <x v="37"/>
    <d v="2024-01-10T00:00:00"/>
    <n v="6"/>
    <s v="No"/>
    <n v="16465"/>
    <x v="5"/>
    <s v="NO"/>
    <x v="7"/>
    <s v="Match"/>
    <n v="7"/>
    <s v="Within Target"/>
  </r>
  <r>
    <n v="2203"/>
    <n v="21"/>
    <x v="0"/>
    <s v="neurology"/>
    <x v="11"/>
    <d v="2024-03-20T00:00:00"/>
    <n v="8"/>
    <s v="No"/>
    <n v="21362"/>
    <x v="5"/>
    <s v="NO"/>
    <x v="12"/>
    <s v="Match"/>
    <n v="7"/>
    <s v="Above Target"/>
  </r>
  <r>
    <n v="2204"/>
    <n v="9"/>
    <x v="1"/>
    <s v="er"/>
    <x v="79"/>
    <d v="2024-03-26T00:00:00"/>
    <n v="1"/>
    <s v="No"/>
    <n v="4225"/>
    <x v="0"/>
    <s v="NO"/>
    <x v="0"/>
    <s v="Match"/>
    <n v="2"/>
    <s v="Within Target"/>
  </r>
  <r>
    <n v="2205"/>
    <n v="20"/>
    <x v="1"/>
    <s v="neurology"/>
    <x v="68"/>
    <d v="2024-04-03T00:00:00"/>
    <n v="8"/>
    <s v="Yes"/>
    <n v="19474"/>
    <x v="5"/>
    <s v="YES"/>
    <x v="12"/>
    <s v="Match"/>
    <n v="7"/>
    <s v="Above Target"/>
  </r>
  <r>
    <n v="2206"/>
    <n v="61"/>
    <x v="1"/>
    <s v="Pediatrics"/>
    <x v="58"/>
    <d v="2024-03-23T00:00:00"/>
    <n v="2"/>
    <s v="No"/>
    <n v="5430"/>
    <x v="2"/>
    <s v="NO"/>
    <x v="2"/>
    <s v="Match"/>
    <n v="3"/>
    <s v="Within Target"/>
  </r>
  <r>
    <n v="2207"/>
    <n v="74"/>
    <x v="0"/>
    <s v="er"/>
    <x v="23"/>
    <d v="2024-02-07T00:00:00"/>
    <n v="2"/>
    <s v="No"/>
    <n v="6798"/>
    <x v="0"/>
    <s v="NO"/>
    <x v="2"/>
    <s v="Match"/>
    <n v="2"/>
    <s v="Within Target"/>
  </r>
  <r>
    <n v="2208"/>
    <n v="51"/>
    <x v="1"/>
    <s v="Pediatrics"/>
    <x v="54"/>
    <d v="2024-02-12T00:00:00"/>
    <n v="1"/>
    <s v="No"/>
    <n v="5902"/>
    <x v="2"/>
    <s v="NO"/>
    <x v="0"/>
    <s v="Match"/>
    <n v="3"/>
    <s v="Within Target"/>
  </r>
  <r>
    <n v="2209"/>
    <n v="74"/>
    <x v="1"/>
    <s v="Oncology"/>
    <x v="16"/>
    <d v="2024-02-02T00:00:00"/>
    <n v="3"/>
    <s v="No"/>
    <n v="14091"/>
    <x v="6"/>
    <s v="NO"/>
    <x v="1"/>
    <s v="Match"/>
    <n v="6"/>
    <s v="Within Target"/>
  </r>
  <r>
    <n v="2210"/>
    <n v="55"/>
    <x v="0"/>
    <s v="Cardiology"/>
    <x v="51"/>
    <d v="2024-01-13T00:00:00"/>
    <n v="6"/>
    <s v="No"/>
    <n v="20322"/>
    <x v="1"/>
    <s v="NO"/>
    <x v="7"/>
    <s v="Match"/>
    <n v="5"/>
    <s v="Above Target"/>
  </r>
  <r>
    <n v="2211"/>
    <n v="67"/>
    <x v="1"/>
    <s v="er"/>
    <x v="7"/>
    <d v="2024-03-01T00:00:00"/>
    <n v="1"/>
    <s v="Yes"/>
    <n v="4246"/>
    <x v="0"/>
    <s v="YES"/>
    <x v="0"/>
    <s v="Match"/>
    <n v="2"/>
    <s v="Within Target"/>
  </r>
  <r>
    <n v="2212"/>
    <n v="48"/>
    <x v="1"/>
    <s v="Pediatrics"/>
    <x v="11"/>
    <d v="2024-03-17T00:00:00"/>
    <n v="5"/>
    <s v="No"/>
    <n v="11600"/>
    <x v="2"/>
    <s v="NO"/>
    <x v="3"/>
    <s v="Match"/>
    <n v="3"/>
    <s v="Above Target"/>
  </r>
  <r>
    <n v="2213"/>
    <n v="76"/>
    <x v="1"/>
    <s v="Pediatrics"/>
    <x v="65"/>
    <d v="2024-03-09T00:00:00"/>
    <n v="1"/>
    <s v="Yes"/>
    <n v="5501"/>
    <x v="2"/>
    <s v="YES"/>
    <x v="0"/>
    <s v="Match"/>
    <n v="3"/>
    <s v="Within Target"/>
  </r>
  <r>
    <n v="2214"/>
    <n v="38"/>
    <x v="1"/>
    <s v="Oncology"/>
    <x v="80"/>
    <d v="2024-03-06T00:00:00"/>
    <n v="12"/>
    <s v="Yes"/>
    <n v="28287"/>
    <x v="6"/>
    <s v="YES"/>
    <x v="13"/>
    <s v="Match"/>
    <n v="6"/>
    <s v="Above Target"/>
  </r>
  <r>
    <n v="2215"/>
    <n v="81"/>
    <x v="0"/>
    <s v="neurology"/>
    <x v="81"/>
    <d v="2024-03-26T00:00:00"/>
    <n v="13"/>
    <s v="No"/>
    <n v="21934"/>
    <x v="5"/>
    <s v="NO"/>
    <x v="15"/>
    <s v="Match"/>
    <n v="7"/>
    <s v="Above Target"/>
  </r>
  <r>
    <n v="2216"/>
    <n v="1"/>
    <x v="1"/>
    <s v="er"/>
    <x v="66"/>
    <d v="2024-01-15T00:00:00"/>
    <n v="2"/>
    <s v="Yes"/>
    <n v="4022"/>
    <x v="0"/>
    <s v="YES"/>
    <x v="2"/>
    <s v="Match"/>
    <n v="2"/>
    <s v="Within Target"/>
  </r>
  <r>
    <n v="2217"/>
    <n v="69"/>
    <x v="0"/>
    <s v=" Oncology  "/>
    <x v="47"/>
    <d v="2024-02-03T00:00:00"/>
    <m/>
    <s v="No"/>
    <n v="18597"/>
    <x v="9"/>
    <s v="NO"/>
    <x v="12"/>
    <s v=""/>
    <n v="6"/>
    <s v="Above Target"/>
  </r>
  <r>
    <n v="2218"/>
    <n v="67"/>
    <x v="1"/>
    <s v="er"/>
    <x v="39"/>
    <d v="2024-03-21T00:00:00"/>
    <n v="2"/>
    <s v="No"/>
    <m/>
    <x v="0"/>
    <s v="NO"/>
    <x v="2"/>
    <s v="Match"/>
    <n v="2"/>
    <s v="Within Target"/>
  </r>
  <r>
    <n v="2219"/>
    <n v="46"/>
    <x v="1"/>
    <s v=" Orthopedics  "/>
    <x v="72"/>
    <d v="2024-01-11T00:00:00"/>
    <n v="6"/>
    <s v="No"/>
    <n v="19881"/>
    <x v="7"/>
    <s v="NO"/>
    <x v="7"/>
    <s v="Match"/>
    <n v="6"/>
    <s v="Within Target"/>
  </r>
  <r>
    <n v="2220"/>
    <n v="51"/>
    <x v="0"/>
    <s v="er"/>
    <x v="51"/>
    <d v="2024-01-09T00:00:00"/>
    <n v="2"/>
    <s v="No"/>
    <n v="4502"/>
    <x v="0"/>
    <s v="NO"/>
    <x v="2"/>
    <s v="Match"/>
    <n v="2"/>
    <s v="Within Target"/>
  </r>
  <r>
    <n v="2221"/>
    <n v="59"/>
    <x v="1"/>
    <s v="er"/>
    <x v="73"/>
    <d v="2024-03-19T00:00:00"/>
    <n v="1"/>
    <s v="No"/>
    <n v="5559"/>
    <x v="0"/>
    <s v="NO"/>
    <x v="0"/>
    <s v="Match"/>
    <n v="2"/>
    <s v="Within Target"/>
  </r>
  <r>
    <n v="2222"/>
    <n v="53"/>
    <x v="1"/>
    <s v="er"/>
    <x v="40"/>
    <d v="2024-03-04T00:00:00"/>
    <n v="1"/>
    <s v="No"/>
    <n v="3277"/>
    <x v="0"/>
    <s v="NO"/>
    <x v="0"/>
    <s v="Match"/>
    <n v="2"/>
    <s v="Within Target"/>
  </r>
  <r>
    <n v="2223"/>
    <n v="38"/>
    <x v="1"/>
    <s v="Oncology"/>
    <x v="42"/>
    <d v="2024-02-19T00:00:00"/>
    <n v="3"/>
    <s v="No"/>
    <n v="14454"/>
    <x v="6"/>
    <s v="NO"/>
    <x v="1"/>
    <s v="Match"/>
    <n v="6"/>
    <s v="Within Target"/>
  </r>
  <r>
    <n v="2224"/>
    <n v="45"/>
    <x v="0"/>
    <s v="er"/>
    <x v="22"/>
    <d v="2024-01-27T00:00:00"/>
    <n v="2"/>
    <s v="No"/>
    <m/>
    <x v="0"/>
    <s v="NO"/>
    <x v="2"/>
    <s v="Match"/>
    <n v="2"/>
    <s v="Within Target"/>
  </r>
  <r>
    <n v="2225"/>
    <n v="17"/>
    <x v="0"/>
    <s v="Orthopedics"/>
    <x v="28"/>
    <d v="2024-02-14T00:00:00"/>
    <n v="10"/>
    <s v="No"/>
    <n v="19946"/>
    <x v="3"/>
    <s v="NO"/>
    <x v="8"/>
    <s v="Match"/>
    <n v="6"/>
    <s v="Above Target"/>
  </r>
  <r>
    <n v="2226"/>
    <n v="46"/>
    <x v="0"/>
    <s v="Pediatrics"/>
    <x v="56"/>
    <d v="2024-02-25T00:00:00"/>
    <n v="4"/>
    <s v="No"/>
    <n v="11982"/>
    <x v="2"/>
    <s v="NO"/>
    <x v="6"/>
    <s v="Match"/>
    <n v="3"/>
    <s v="Above Target"/>
  </r>
  <r>
    <n v="2227"/>
    <n v="87"/>
    <x v="0"/>
    <s v="Pediatrics"/>
    <x v="38"/>
    <d v="2024-02-08T00:00:00"/>
    <n v="5"/>
    <s v="No"/>
    <n v="14468"/>
    <x v="2"/>
    <s v="NO"/>
    <x v="3"/>
    <s v="Match"/>
    <n v="3"/>
    <s v="Above Target"/>
  </r>
  <r>
    <n v="2228"/>
    <n v="16"/>
    <x v="0"/>
    <s v="Oncology"/>
    <x v="28"/>
    <d v="2024-02-17T00:00:00"/>
    <n v="13"/>
    <s v="No"/>
    <n v="30702"/>
    <x v="6"/>
    <s v="NO"/>
    <x v="15"/>
    <s v="Match"/>
    <n v="6"/>
    <s v="Above Target"/>
  </r>
  <r>
    <n v="2229"/>
    <n v="12"/>
    <x v="0"/>
    <s v="Orthopedics"/>
    <x v="54"/>
    <d v="2024-02-16T00:00:00"/>
    <n v="5"/>
    <s v="No"/>
    <n v="12954"/>
    <x v="3"/>
    <s v="NO"/>
    <x v="3"/>
    <s v="Match"/>
    <n v="6"/>
    <s v="Within Target"/>
  </r>
  <r>
    <n v="2230"/>
    <n v="9"/>
    <x v="1"/>
    <s v="Cardiology"/>
    <x v="2"/>
    <d v="2024-02-04T00:00:00"/>
    <n v="6"/>
    <s v="Yes"/>
    <n v="19080"/>
    <x v="1"/>
    <s v="YES"/>
    <x v="7"/>
    <s v="Match"/>
    <n v="5"/>
    <s v="Above Target"/>
  </r>
  <r>
    <n v="2231"/>
    <n v="81"/>
    <x v="0"/>
    <s v="neurology"/>
    <x v="71"/>
    <d v="2024-01-26T00:00:00"/>
    <n v="3"/>
    <s v="No"/>
    <n v="14393"/>
    <x v="5"/>
    <s v="NO"/>
    <x v="1"/>
    <s v="Match"/>
    <n v="7"/>
    <s v="Within Target"/>
  </r>
  <r>
    <n v="2232"/>
    <n v="52"/>
    <x v="1"/>
    <s v="Pediatrics"/>
    <x v="66"/>
    <d v="2024-01-15T00:00:00"/>
    <n v="2"/>
    <s v="No"/>
    <n v="7977"/>
    <x v="2"/>
    <s v="NO"/>
    <x v="2"/>
    <s v="Match"/>
    <n v="3"/>
    <s v="Within Target"/>
  </r>
  <r>
    <n v="2233"/>
    <n v="78"/>
    <x v="0"/>
    <s v="er"/>
    <x v="47"/>
    <d v="2024-01-27T00:00:00"/>
    <n v="1"/>
    <s v="Yes"/>
    <n v="3811"/>
    <x v="0"/>
    <s v="YES"/>
    <x v="0"/>
    <s v="Match"/>
    <n v="2"/>
    <s v="Within Target"/>
  </r>
  <r>
    <n v="2234"/>
    <n v="73"/>
    <x v="1"/>
    <s v="Pediatrics"/>
    <x v="61"/>
    <d v="2024-03-10T00:00:00"/>
    <n v="3"/>
    <s v="No"/>
    <n v="10148"/>
    <x v="2"/>
    <s v="NO"/>
    <x v="1"/>
    <s v="Match"/>
    <n v="3"/>
    <s v="Within Target"/>
  </r>
  <r>
    <n v="2235"/>
    <n v="6"/>
    <x v="0"/>
    <s v="Orthopedics"/>
    <x v="82"/>
    <d v="2024-03-31T00:00:00"/>
    <n v="3"/>
    <s v="Yes"/>
    <n v="12286"/>
    <x v="3"/>
    <s v="YES"/>
    <x v="1"/>
    <s v="Match"/>
    <n v="6"/>
    <s v="Within Target"/>
  </r>
  <r>
    <n v="2236"/>
    <n v="51"/>
    <x v="0"/>
    <s v="neurology"/>
    <x v="65"/>
    <d v="2024-03-12T00:00:00"/>
    <n v="4"/>
    <s v="No"/>
    <n v="15678"/>
    <x v="5"/>
    <s v="NO"/>
    <x v="6"/>
    <s v="Match"/>
    <n v="7"/>
    <s v="Within Target"/>
  </r>
  <r>
    <n v="2237"/>
    <n v="81"/>
    <x v="1"/>
    <s v="Oncology"/>
    <x v="51"/>
    <d v="2024-01-19T00:00:00"/>
    <n v="12"/>
    <s v="No"/>
    <n v="31402"/>
    <x v="6"/>
    <s v="NO"/>
    <x v="13"/>
    <s v="Match"/>
    <n v="6"/>
    <s v="Above Target"/>
  </r>
  <r>
    <n v="2238"/>
    <n v="6"/>
    <x v="1"/>
    <s v="Orthopedics"/>
    <x v="70"/>
    <d v="2024-03-14T00:00:00"/>
    <n v="4"/>
    <s v="No"/>
    <n v="13845"/>
    <x v="3"/>
    <s v="NO"/>
    <x v="6"/>
    <s v="Match"/>
    <n v="6"/>
    <s v="Within Target"/>
  </r>
  <r>
    <n v="2239"/>
    <n v="12"/>
    <x v="0"/>
    <s v="Pediatrics"/>
    <x v="78"/>
    <d v="2024-02-11T00:00:00"/>
    <m/>
    <s v="No"/>
    <n v="8364"/>
    <x v="2"/>
    <s v="NO"/>
    <x v="2"/>
    <s v=""/>
    <n v="3"/>
    <s v="Within Target"/>
  </r>
  <r>
    <n v="2240"/>
    <n v="18"/>
    <x v="1"/>
    <s v="Pediatrics"/>
    <x v="67"/>
    <d v="2024-02-10T00:00:00"/>
    <n v="2"/>
    <s v="No"/>
    <n v="6783"/>
    <x v="2"/>
    <s v="NO"/>
    <x v="2"/>
    <s v="Match"/>
    <n v="3"/>
    <s v="Within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490D3-71A8-CE4D-ADC1-E9C0CDA33DE4}"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ow Levels">
  <location ref="A23:B28" firstHeaderRow="1" firstDataRow="1" firstDataCol="1"/>
  <pivotFields count="17">
    <pivotField dataField="1" showAll="0"/>
    <pivotField showAll="0"/>
    <pivotField showAll="0"/>
    <pivotField showAll="0"/>
    <pivotField numFmtId="164" showAll="0">
      <items count="84">
        <item x="52"/>
        <item x="19"/>
        <item x="27"/>
        <item x="37"/>
        <item x="72"/>
        <item x="57"/>
        <item x="51"/>
        <item x="75"/>
        <item x="5"/>
        <item x="14"/>
        <item x="29"/>
        <item x="66"/>
        <item x="44"/>
        <item x="76"/>
        <item x="20"/>
        <item x="24"/>
        <item x="34"/>
        <item x="9"/>
        <item x="32"/>
        <item x="8"/>
        <item x="71"/>
        <item x="33"/>
        <item x="22"/>
        <item x="47"/>
        <item x="30"/>
        <item x="31"/>
        <item x="2"/>
        <item x="16"/>
        <item x="1"/>
        <item x="53"/>
        <item x="49"/>
        <item x="38"/>
        <item x="28"/>
        <item x="23"/>
        <item x="45"/>
        <item x="43"/>
        <item x="67"/>
        <item x="78"/>
        <item x="54"/>
        <item x="46"/>
        <item x="12"/>
        <item x="17"/>
        <item x="62"/>
        <item x="42"/>
        <item x="60"/>
        <item x="69"/>
        <item x="64"/>
        <item x="55"/>
        <item x="56"/>
        <item x="50"/>
        <item x="80"/>
        <item x="26"/>
        <item x="4"/>
        <item x="74"/>
        <item x="7"/>
        <item x="21"/>
        <item x="63"/>
        <item x="40"/>
        <item x="35"/>
        <item x="36"/>
        <item x="59"/>
        <item x="61"/>
        <item x="65"/>
        <item x="10"/>
        <item x="70"/>
        <item x="41"/>
        <item x="11"/>
        <item x="81"/>
        <item x="48"/>
        <item x="3"/>
        <item x="18"/>
        <item x="73"/>
        <item x="39"/>
        <item x="77"/>
        <item x="58"/>
        <item x="13"/>
        <item x="25"/>
        <item x="0"/>
        <item x="79"/>
        <item x="68"/>
        <item x="82"/>
        <item x="15"/>
        <item x="6"/>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6"/>
    <field x="15"/>
  </rowFields>
  <rowItems count="5">
    <i>
      <x v="1"/>
    </i>
    <i r="1">
      <x v="1"/>
    </i>
    <i r="1">
      <x v="2"/>
    </i>
    <i r="1">
      <x v="3"/>
    </i>
    <i t="grand">
      <x/>
    </i>
  </rowItems>
  <colItems count="1">
    <i/>
  </colItems>
  <dataFields count="1">
    <dataField name="Admission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A3056-E5D0-AE4F-8E97-54ECEDB17DC7}"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s">
  <location ref="A3:D12" firstHeaderRow="0" firstDataRow="1" firstDataCol="1"/>
  <pivotFields count="17">
    <pivotField dataField="1" showAll="0"/>
    <pivotField showAll="0"/>
    <pivotField showAll="0">
      <items count="3">
        <item x="0"/>
        <item x="1"/>
        <item t="default"/>
      </items>
    </pivotField>
    <pivotField showAll="0"/>
    <pivotField numFmtId="164" showAll="0">
      <items count="84">
        <item x="52"/>
        <item x="19"/>
        <item x="27"/>
        <item x="37"/>
        <item x="72"/>
        <item x="57"/>
        <item x="51"/>
        <item x="75"/>
        <item x="5"/>
        <item x="14"/>
        <item x="29"/>
        <item x="66"/>
        <item x="44"/>
        <item x="76"/>
        <item x="20"/>
        <item x="24"/>
        <item x="34"/>
        <item x="9"/>
        <item x="32"/>
        <item x="8"/>
        <item x="71"/>
        <item x="33"/>
        <item x="22"/>
        <item x="47"/>
        <item x="30"/>
        <item x="31"/>
        <item x="2"/>
        <item x="16"/>
        <item x="1"/>
        <item x="53"/>
        <item x="49"/>
        <item x="38"/>
        <item x="28"/>
        <item x="23"/>
        <item x="45"/>
        <item x="43"/>
        <item x="67"/>
        <item x="78"/>
        <item x="54"/>
        <item x="46"/>
        <item x="12"/>
        <item x="17"/>
        <item x="62"/>
        <item x="42"/>
        <item x="60"/>
        <item x="69"/>
        <item x="64"/>
        <item x="55"/>
        <item x="56"/>
        <item x="50"/>
        <item x="80"/>
        <item x="26"/>
        <item x="4"/>
        <item x="74"/>
        <item x="7"/>
        <item x="21"/>
        <item x="63"/>
        <item x="40"/>
        <item x="35"/>
        <item x="36"/>
        <item x="59"/>
        <item x="61"/>
        <item x="65"/>
        <item x="10"/>
        <item x="70"/>
        <item x="41"/>
        <item x="11"/>
        <item x="81"/>
        <item x="48"/>
        <item x="3"/>
        <item x="18"/>
        <item x="73"/>
        <item x="39"/>
        <item x="77"/>
        <item x="58"/>
        <item x="13"/>
        <item x="25"/>
        <item x="0"/>
        <item x="79"/>
        <item x="68"/>
        <item x="82"/>
        <item x="15"/>
        <item x="6"/>
        <item t="default"/>
      </items>
    </pivotField>
    <pivotField showAll="0"/>
    <pivotField showAll="0"/>
    <pivotField showAll="0"/>
    <pivotField dataField="1" showAll="0"/>
    <pivotField axis="axisRow" showAll="0">
      <items count="12">
        <item h="1" x="4"/>
        <item h="1" x="10"/>
        <item h="1" x="9"/>
        <item x="7"/>
        <item x="8"/>
        <item x="1"/>
        <item x="0"/>
        <item x="5"/>
        <item x="6"/>
        <item x="3"/>
        <item x="2"/>
        <item t="default"/>
      </items>
    </pivotField>
    <pivotField showAll="0"/>
    <pivotField dataField="1" showAll="0">
      <items count="17">
        <item x="0"/>
        <item x="2"/>
        <item x="1"/>
        <item x="6"/>
        <item x="3"/>
        <item x="7"/>
        <item x="4"/>
        <item x="12"/>
        <item x="5"/>
        <item x="8"/>
        <item x="9"/>
        <item x="13"/>
        <item x="15"/>
        <item x="11"/>
        <item x="14"/>
        <item x="1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9">
    <i>
      <x v="3"/>
    </i>
    <i>
      <x v="4"/>
    </i>
    <i>
      <x v="5"/>
    </i>
    <i>
      <x v="6"/>
    </i>
    <i>
      <x v="7"/>
    </i>
    <i>
      <x v="8"/>
    </i>
    <i>
      <x v="9"/>
    </i>
    <i>
      <x v="10"/>
    </i>
    <i t="grand">
      <x/>
    </i>
  </rowItems>
  <colFields count="1">
    <field x="-2"/>
  </colFields>
  <colItems count="3">
    <i>
      <x/>
    </i>
    <i i="1">
      <x v="1"/>
    </i>
    <i i="2">
      <x v="2"/>
    </i>
  </colItems>
  <dataFields count="3">
    <dataField name="Total Charges" fld="8" baseField="0" baseItem="0"/>
    <dataField name="Admissions" fld="0" subtotal="count" baseField="0" baseItem="0"/>
    <dataField name="Average LOS" fld="11" subtotal="average" baseField="0" baseItem="0"/>
  </dataFields>
  <chartFormats count="6">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lean" xr10:uid="{20754EF9-6CD3-2C4D-B25D-3DA8292AEC1B}" sourceName="Dept_Clean">
  <pivotTables>
    <pivotTable tabId="7" name="PivotTable3"/>
  </pivotTables>
  <data>
    <tabular pivotCacheId="2091645586">
      <items count="11">
        <i x="4"/>
        <i x="10"/>
        <i x="9"/>
        <i x="7" s="1"/>
        <i x="8" s="1"/>
        <i x="1" s="1"/>
        <i x="0" s="1"/>
        <i x="5"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5B2544-69E9-1D4D-869E-258D7BD9FE88}" sourceName="Gender">
  <pivotTables>
    <pivotTable tabId="7" name="PivotTable3"/>
  </pivotTables>
  <data>
    <tabular pivotCacheId="20916455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Clean" xr10:uid="{CFF60EB5-7831-1A42-8F75-EF1D31E6A0BE}" cache="Slicer_Dept_Clean" caption="Dept_Clean" startItem="3" rowHeight="230716"/>
  <slicer name="Gender" xr10:uid="{69B82A35-02D8-5046-99A3-B661534F0139}" cache="Slicer_Gender" caption="Gend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missionsTable" displayName="AdmissionsTable" ref="A1:O241">
  <autoFilter ref="A1:O241" xr:uid="{00000000-0009-0000-0100-000001000000}"/>
  <tableColumns count="15">
    <tableColumn id="1" xr3:uid="{00000000-0010-0000-0000-000001000000}" name="Patient_ID"/>
    <tableColumn id="2" xr3:uid="{00000000-0010-0000-0000-000002000000}" name="Age"/>
    <tableColumn id="3" xr3:uid="{00000000-0010-0000-0000-000003000000}" name="Gender"/>
    <tableColumn id="4" xr3:uid="{00000000-0010-0000-0000-000004000000}" name="Department"/>
    <tableColumn id="5" xr3:uid="{00000000-0010-0000-0000-000005000000}" name="Admission_Date"/>
    <tableColumn id="6" xr3:uid="{00000000-0010-0000-0000-000006000000}" name="Discharge_Date"/>
    <tableColumn id="7" xr3:uid="{00000000-0010-0000-0000-000007000000}" name="Length_of_Stay"/>
    <tableColumn id="8" xr3:uid="{00000000-0010-0000-0000-000008000000}" name="Readmitted"/>
    <tableColumn id="9" xr3:uid="{00000000-0010-0000-0000-000009000000}" name="Total_Charges"/>
    <tableColumn id="10" xr3:uid="{343E083A-563B-0342-AEED-4B6F18B50977}" name="Dept_Clean" dataDxfId="5">
      <calculatedColumnFormula>UPPER((SUBSTITUTE(D2,CHAR(160)," ")))</calculatedColumnFormula>
    </tableColumn>
    <tableColumn id="11" xr3:uid="{5E206027-069F-4744-AF4D-8318D334919B}" name="Readmitted_Clean" dataDxfId="4">
      <calculatedColumnFormula>UPPER(TRIM(H2))</calculatedColumnFormula>
    </tableColumn>
    <tableColumn id="12" xr3:uid="{C5B3FFCF-149E-E84A-9F1A-C96279FDC115}" name="LOS_Calc" dataDxfId="3">
      <calculatedColumnFormula>IF(OR(E2="",F2=""),"",F2-E2)</calculatedColumnFormula>
    </tableColumn>
    <tableColumn id="13" xr3:uid="{49F8C3D5-A7B3-A345-9D13-7BE3821502B8}" name="LOS_Check" dataDxfId="2">
      <calculatedColumnFormula>IF(OR(G2="",L2=""),"",IF(G2=L2,"Match","Mismatch"))</calculatedColumnFormula>
    </tableColumn>
    <tableColumn id="14" xr3:uid="{AF057377-4986-9647-87E7-F0C2FA590E97}" name="Target_LOS" dataDxfId="1">
      <calculatedColumnFormula>_xlfn.XLOOKUP(UPPER(TRIM(SUBSTITUTE(J2,CHAR(160)," "))),Departments!A:A,Departments!C:C,"")</calculatedColumnFormula>
    </tableColumn>
    <tableColumn id="15" xr3:uid="{8A5D8A57-2A13-C944-967F-BC6689FCFA47}" name="LOS_Target_Flag" dataDxfId="0">
      <calculatedColumnFormula>IF(OR(L2="",N2=""),"",IF(L2&gt;N2,"Above Target","Within Target"))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88DA-EEED-9649-9B5D-C7AD16F857E1}">
  <dimension ref="A1:D28"/>
  <sheetViews>
    <sheetView workbookViewId="0">
      <selection activeCell="F9" sqref="F9"/>
    </sheetView>
  </sheetViews>
  <sheetFormatPr baseColWidth="10" defaultRowHeight="15" x14ac:dyDescent="0.2"/>
  <cols>
    <col min="1" max="1" width="13.83203125" bestFit="1" customWidth="1"/>
    <col min="2" max="2" width="11.33203125" bestFit="1" customWidth="1"/>
    <col min="3" max="3" width="9.83203125" bestFit="1" customWidth="1"/>
    <col min="4" max="4" width="12.1640625" bestFit="1" customWidth="1"/>
  </cols>
  <sheetData>
    <row r="1" spans="1:4" ht="21" x14ac:dyDescent="0.25">
      <c r="A1" s="9" t="s">
        <v>70</v>
      </c>
    </row>
    <row r="3" spans="1:4" x14ac:dyDescent="0.2">
      <c r="A3" s="4" t="s">
        <v>69</v>
      </c>
      <c r="B3" t="s">
        <v>62</v>
      </c>
      <c r="C3" t="s">
        <v>68</v>
      </c>
      <c r="D3" t="s">
        <v>67</v>
      </c>
    </row>
    <row r="4" spans="1:4" x14ac:dyDescent="0.2">
      <c r="A4" s="5" t="s">
        <v>65</v>
      </c>
      <c r="B4" s="17">
        <v>57848</v>
      </c>
      <c r="C4" s="17">
        <v>3</v>
      </c>
      <c r="D4" s="17">
        <v>7</v>
      </c>
    </row>
    <row r="5" spans="1:4" x14ac:dyDescent="0.2">
      <c r="A5" s="5" t="s">
        <v>66</v>
      </c>
      <c r="B5" s="17">
        <v>13619</v>
      </c>
      <c r="C5" s="17">
        <v>2</v>
      </c>
      <c r="D5" s="17">
        <v>1.5</v>
      </c>
    </row>
    <row r="6" spans="1:4" x14ac:dyDescent="0.2">
      <c r="A6" s="5" t="s">
        <v>53</v>
      </c>
      <c r="B6" s="17">
        <v>552228</v>
      </c>
      <c r="C6" s="17">
        <v>34</v>
      </c>
      <c r="D6" s="17">
        <v>5.6969696969696972</v>
      </c>
    </row>
    <row r="7" spans="1:4" x14ac:dyDescent="0.2">
      <c r="A7" s="5" t="s">
        <v>15</v>
      </c>
      <c r="B7" s="17">
        <v>246661</v>
      </c>
      <c r="C7" s="17">
        <v>51</v>
      </c>
      <c r="D7" s="17">
        <v>1.653061224489796</v>
      </c>
    </row>
    <row r="8" spans="1:4" x14ac:dyDescent="0.2">
      <c r="A8" s="5" t="s">
        <v>33</v>
      </c>
      <c r="B8" s="17">
        <v>459866</v>
      </c>
      <c r="C8" s="17">
        <v>22</v>
      </c>
      <c r="D8" s="17">
        <v>7</v>
      </c>
    </row>
    <row r="9" spans="1:4" x14ac:dyDescent="0.2">
      <c r="A9" s="5" t="s">
        <v>29</v>
      </c>
      <c r="B9" s="17">
        <v>810345</v>
      </c>
      <c r="C9" s="17">
        <v>36</v>
      </c>
      <c r="D9" s="17">
        <v>8.4285714285714288</v>
      </c>
    </row>
    <row r="10" spans="1:4" x14ac:dyDescent="0.2">
      <c r="A10" s="5" t="s">
        <v>26</v>
      </c>
      <c r="B10" s="17">
        <v>783605</v>
      </c>
      <c r="C10" s="17">
        <v>43</v>
      </c>
      <c r="D10" s="17">
        <v>7.0465116279069768</v>
      </c>
    </row>
    <row r="11" spans="1:4" x14ac:dyDescent="0.2">
      <c r="A11" s="5" t="s">
        <v>30</v>
      </c>
      <c r="B11" s="17">
        <v>357384</v>
      </c>
      <c r="C11" s="17">
        <v>43</v>
      </c>
      <c r="D11" s="17">
        <v>2.9069767441860463</v>
      </c>
    </row>
    <row r="12" spans="1:4" x14ac:dyDescent="0.2">
      <c r="A12" s="5" t="s">
        <v>51</v>
      </c>
      <c r="B12" s="17">
        <v>3281556</v>
      </c>
      <c r="C12" s="17">
        <v>234</v>
      </c>
      <c r="D12" s="17">
        <v>5.0786026200873362</v>
      </c>
    </row>
    <row r="21" spans="1:2" ht="21" x14ac:dyDescent="0.25">
      <c r="A21" s="9" t="s">
        <v>71</v>
      </c>
    </row>
    <row r="23" spans="1:2" x14ac:dyDescent="0.2">
      <c r="A23" s="4" t="s">
        <v>76</v>
      </c>
      <c r="B23" t="s">
        <v>68</v>
      </c>
    </row>
    <row r="24" spans="1:2" x14ac:dyDescent="0.2">
      <c r="A24" s="5" t="s">
        <v>75</v>
      </c>
      <c r="B24" s="17">
        <v>240</v>
      </c>
    </row>
    <row r="25" spans="1:2" x14ac:dyDescent="0.2">
      <c r="A25" s="18" t="s">
        <v>72</v>
      </c>
      <c r="B25" s="17">
        <v>94</v>
      </c>
    </row>
    <row r="26" spans="1:2" x14ac:dyDescent="0.2">
      <c r="A26" s="18" t="s">
        <v>73</v>
      </c>
      <c r="B26" s="17">
        <v>72</v>
      </c>
    </row>
    <row r="27" spans="1:2" x14ac:dyDescent="0.2">
      <c r="A27" s="18" t="s">
        <v>74</v>
      </c>
      <c r="B27" s="17">
        <v>74</v>
      </c>
    </row>
    <row r="28" spans="1:2" x14ac:dyDescent="0.2">
      <c r="A28" s="5" t="s">
        <v>51</v>
      </c>
      <c r="B28" s="17">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9"/>
  <sheetViews>
    <sheetView tabSelected="1" topLeftCell="C1" workbookViewId="0">
      <selection activeCell="A259" sqref="A259"/>
    </sheetView>
  </sheetViews>
  <sheetFormatPr baseColWidth="10" defaultColWidth="8.83203125" defaultRowHeight="15" x14ac:dyDescent="0.2"/>
  <cols>
    <col min="1" max="1" width="13.6640625" customWidth="1"/>
    <col min="2" max="2" width="6" customWidth="1"/>
    <col min="3" max="3" width="8" customWidth="1"/>
    <col min="4" max="4" width="16" customWidth="1"/>
    <col min="5" max="5" width="20" customWidth="1"/>
    <col min="6" max="6" width="16" customWidth="1"/>
    <col min="7" max="7" width="15.6640625" customWidth="1"/>
    <col min="8" max="8" width="15.1640625" customWidth="1"/>
    <col min="9" max="9" width="14" customWidth="1"/>
    <col min="10" max="10" width="15.1640625" customWidth="1"/>
    <col min="11" max="11" width="22.5" customWidth="1"/>
    <col min="12" max="12" width="17" customWidth="1"/>
    <col min="13" max="13" width="11.6640625" customWidth="1"/>
    <col min="14" max="14" width="12" customWidth="1"/>
    <col min="15" max="15" width="15" customWidth="1"/>
  </cols>
  <sheetData>
    <row r="1" spans="1:15" x14ac:dyDescent="0.2">
      <c r="A1" s="1" t="s">
        <v>0</v>
      </c>
      <c r="B1" s="1" t="s">
        <v>1</v>
      </c>
      <c r="C1" s="1" t="s">
        <v>2</v>
      </c>
      <c r="D1" s="1" t="s">
        <v>3</v>
      </c>
      <c r="E1" s="1" t="s">
        <v>4</v>
      </c>
      <c r="F1" s="1" t="s">
        <v>5</v>
      </c>
      <c r="G1" s="1" t="s">
        <v>6</v>
      </c>
      <c r="H1" s="1" t="s">
        <v>7</v>
      </c>
      <c r="I1" s="1" t="s">
        <v>8</v>
      </c>
      <c r="J1" t="s">
        <v>52</v>
      </c>
      <c r="K1" t="s">
        <v>54</v>
      </c>
      <c r="L1" t="s">
        <v>55</v>
      </c>
      <c r="M1" t="s">
        <v>56</v>
      </c>
      <c r="N1" t="s">
        <v>57</v>
      </c>
      <c r="O1" t="s">
        <v>58</v>
      </c>
    </row>
    <row r="2" spans="1:15" x14ac:dyDescent="0.2">
      <c r="A2">
        <v>2001</v>
      </c>
      <c r="B2">
        <v>42</v>
      </c>
      <c r="C2" t="s">
        <v>9</v>
      </c>
      <c r="D2" t="s">
        <v>10</v>
      </c>
      <c r="E2" s="2">
        <v>45375</v>
      </c>
      <c r="F2" s="2">
        <v>45376</v>
      </c>
      <c r="G2">
        <v>1</v>
      </c>
      <c r="H2" t="s">
        <v>11</v>
      </c>
      <c r="I2">
        <v>3889</v>
      </c>
      <c r="J2" t="str">
        <f t="shared" ref="J2:J65" si="0">UPPER((SUBSTITUTE(D2,CHAR(160)," ")))</f>
        <v>ER</v>
      </c>
      <c r="K2" t="str">
        <f>UPPER(TRIM(H2))</f>
        <v>YES</v>
      </c>
      <c r="L2">
        <f>IF(OR(E2="",F2=""),"",F2-E2)</f>
        <v>1</v>
      </c>
      <c r="M2" t="str">
        <f>IF(OR(G2="",L2=""),"",IF(G2=L2,"Match","Mismatch"))</f>
        <v>Match</v>
      </c>
      <c r="N2">
        <f>_xlfn.XLOOKUP(UPPER(TRIM(SUBSTITUTE(J2,CHAR(160)," "))),Departments!A:A,Departments!C:C,"")</f>
        <v>2</v>
      </c>
      <c r="O2" t="str">
        <f>IF(OR(L2="",N2=""),"",IF(L2&gt;N2,"Above Target","Within Target"))</f>
        <v>Within Target</v>
      </c>
    </row>
    <row r="3" spans="1:15" x14ac:dyDescent="0.2">
      <c r="A3">
        <v>2002</v>
      </c>
      <c r="B3">
        <v>56</v>
      </c>
      <c r="C3" t="s">
        <v>12</v>
      </c>
      <c r="D3" t="s">
        <v>13</v>
      </c>
      <c r="E3" s="2">
        <v>45322</v>
      </c>
      <c r="F3" s="2">
        <v>45325</v>
      </c>
      <c r="G3">
        <v>3</v>
      </c>
      <c r="H3" t="s">
        <v>14</v>
      </c>
      <c r="I3">
        <v>12956</v>
      </c>
      <c r="J3" t="str">
        <f t="shared" si="0"/>
        <v>CARDIOLOGY</v>
      </c>
      <c r="K3" t="str">
        <f t="shared" ref="K3:K65" si="1">UPPER(TRIM(H3))</f>
        <v>NO</v>
      </c>
      <c r="L3">
        <f t="shared" ref="L3:L66" si="2">IF(OR(E3="",F3=""),"",F3-E3)</f>
        <v>3</v>
      </c>
      <c r="M3" t="str">
        <f t="shared" ref="M3:M66" si="3">IF(OR(G3="",L3=""),"",IF(G3=L3,"Match","Mismatch"))</f>
        <v>Match</v>
      </c>
      <c r="N3">
        <f>_xlfn.XLOOKUP(UPPER(TRIM(SUBSTITUTE(J3,CHAR(160)," "))),Departments!A:A,Departments!C:C,"")</f>
        <v>5</v>
      </c>
      <c r="O3" t="str">
        <f t="shared" ref="O3:O66" si="4">IF(OR(L3="",N3=""),"",IF(L3&gt;N3,"Above Target","Within Target"))</f>
        <v>Within Target</v>
      </c>
    </row>
    <row r="4" spans="1:15" x14ac:dyDescent="0.2">
      <c r="A4">
        <v>2003</v>
      </c>
      <c r="B4">
        <v>8</v>
      </c>
      <c r="C4" t="s">
        <v>12</v>
      </c>
      <c r="D4" t="s">
        <v>13</v>
      </c>
      <c r="E4" s="2">
        <v>45320</v>
      </c>
      <c r="F4" s="2">
        <v>45322</v>
      </c>
      <c r="G4">
        <v>2</v>
      </c>
      <c r="H4" t="s">
        <v>14</v>
      </c>
      <c r="I4">
        <v>11137</v>
      </c>
      <c r="J4" t="str">
        <f t="shared" si="0"/>
        <v>CARDIOLOGY</v>
      </c>
      <c r="K4" t="str">
        <f t="shared" si="1"/>
        <v>NO</v>
      </c>
      <c r="L4">
        <f t="shared" si="2"/>
        <v>2</v>
      </c>
      <c r="M4" t="str">
        <f t="shared" si="3"/>
        <v>Match</v>
      </c>
      <c r="N4">
        <f>_xlfn.XLOOKUP(UPPER(TRIM(SUBSTITUTE(J4,CHAR(160)," "))),Departments!A:A,Departments!C:C,"")</f>
        <v>5</v>
      </c>
      <c r="O4" t="str">
        <f t="shared" si="4"/>
        <v>Within Target</v>
      </c>
    </row>
    <row r="5" spans="1:15" x14ac:dyDescent="0.2">
      <c r="A5">
        <v>2004</v>
      </c>
      <c r="B5">
        <v>88</v>
      </c>
      <c r="C5" t="s">
        <v>9</v>
      </c>
      <c r="D5" t="s">
        <v>13</v>
      </c>
      <c r="E5" s="2">
        <v>45366</v>
      </c>
      <c r="F5" s="2">
        <v>45371</v>
      </c>
      <c r="G5">
        <v>5</v>
      </c>
      <c r="H5" t="s">
        <v>14</v>
      </c>
      <c r="I5">
        <v>19763</v>
      </c>
      <c r="J5" t="str">
        <f t="shared" si="0"/>
        <v>CARDIOLOGY</v>
      </c>
      <c r="K5" t="str">
        <f t="shared" si="1"/>
        <v>NO</v>
      </c>
      <c r="L5">
        <f t="shared" si="2"/>
        <v>5</v>
      </c>
      <c r="M5" t="str">
        <f t="shared" si="3"/>
        <v>Match</v>
      </c>
      <c r="N5">
        <f>_xlfn.XLOOKUP(UPPER(TRIM(SUBSTITUTE(J5,CHAR(160)," "))),Departments!A:A,Departments!C:C,"")</f>
        <v>5</v>
      </c>
      <c r="O5" t="str">
        <f t="shared" si="4"/>
        <v>Within Target</v>
      </c>
    </row>
    <row r="6" spans="1:15" x14ac:dyDescent="0.2">
      <c r="A6">
        <v>2005</v>
      </c>
      <c r="B6">
        <v>55</v>
      </c>
      <c r="C6" t="s">
        <v>12</v>
      </c>
      <c r="D6" t="s">
        <v>15</v>
      </c>
      <c r="E6" s="2">
        <v>45366</v>
      </c>
      <c r="F6" s="2">
        <v>45368</v>
      </c>
      <c r="G6">
        <v>2</v>
      </c>
      <c r="H6" t="s">
        <v>14</v>
      </c>
      <c r="I6">
        <v>6142</v>
      </c>
      <c r="J6" t="str">
        <f t="shared" si="0"/>
        <v>ER</v>
      </c>
      <c r="K6" t="str">
        <f t="shared" si="1"/>
        <v>NO</v>
      </c>
      <c r="L6">
        <f t="shared" si="2"/>
        <v>2</v>
      </c>
      <c r="M6" t="str">
        <f t="shared" si="3"/>
        <v>Match</v>
      </c>
      <c r="N6">
        <f>_xlfn.XLOOKUP(UPPER(TRIM(SUBSTITUTE(J6,CHAR(160)," "))),Departments!A:A,Departments!C:C,"")</f>
        <v>2</v>
      </c>
      <c r="O6" t="str">
        <f t="shared" si="4"/>
        <v>Within Target</v>
      </c>
    </row>
    <row r="7" spans="1:15" x14ac:dyDescent="0.2">
      <c r="A7">
        <v>2006</v>
      </c>
      <c r="B7">
        <v>64</v>
      </c>
      <c r="C7" t="s">
        <v>12</v>
      </c>
      <c r="D7" t="s">
        <v>16</v>
      </c>
      <c r="E7" s="2">
        <v>45349</v>
      </c>
      <c r="F7" s="2">
        <v>45352</v>
      </c>
      <c r="G7">
        <v>3</v>
      </c>
      <c r="H7" t="s">
        <v>14</v>
      </c>
      <c r="I7">
        <v>6588</v>
      </c>
      <c r="J7" t="str">
        <f t="shared" si="0"/>
        <v>PEDIATRICS</v>
      </c>
      <c r="K7" t="str">
        <f t="shared" si="1"/>
        <v>NO</v>
      </c>
      <c r="L7">
        <f t="shared" si="2"/>
        <v>3</v>
      </c>
      <c r="M7" t="str">
        <f t="shared" si="3"/>
        <v>Match</v>
      </c>
      <c r="N7">
        <f>_xlfn.XLOOKUP(UPPER(TRIM(SUBSTITUTE(J7,CHAR(160)," "))),Departments!A:A,Departments!C:C,"")</f>
        <v>3</v>
      </c>
      <c r="O7" t="str">
        <f t="shared" si="4"/>
        <v>Within Target</v>
      </c>
    </row>
    <row r="8" spans="1:15" x14ac:dyDescent="0.2">
      <c r="A8">
        <v>2007</v>
      </c>
      <c r="B8">
        <v>54</v>
      </c>
      <c r="C8" t="s">
        <v>9</v>
      </c>
      <c r="D8" t="s">
        <v>16</v>
      </c>
      <c r="E8" s="2">
        <v>45301</v>
      </c>
      <c r="F8" s="2">
        <v>45306</v>
      </c>
      <c r="G8">
        <v>5</v>
      </c>
      <c r="H8" t="s">
        <v>14</v>
      </c>
      <c r="I8">
        <v>11606</v>
      </c>
      <c r="J8" t="str">
        <f t="shared" si="0"/>
        <v>PEDIATRICS</v>
      </c>
      <c r="K8" t="str">
        <f t="shared" si="1"/>
        <v>NO</v>
      </c>
      <c r="L8">
        <f t="shared" si="2"/>
        <v>5</v>
      </c>
      <c r="M8" t="str">
        <f t="shared" si="3"/>
        <v>Match</v>
      </c>
      <c r="N8">
        <f>_xlfn.XLOOKUP(UPPER(TRIM(SUBSTITUTE(J8,CHAR(160)," "))),Departments!A:A,Departments!C:C,"")</f>
        <v>3</v>
      </c>
      <c r="O8" t="str">
        <f t="shared" si="4"/>
        <v>Above Target</v>
      </c>
    </row>
    <row r="9" spans="1:15" x14ac:dyDescent="0.2">
      <c r="A9">
        <v>2008</v>
      </c>
      <c r="B9">
        <v>12</v>
      </c>
      <c r="C9" t="s">
        <v>12</v>
      </c>
      <c r="D9" t="s">
        <v>15</v>
      </c>
      <c r="E9" s="2">
        <v>45381</v>
      </c>
      <c r="F9" s="2">
        <v>45384</v>
      </c>
      <c r="G9">
        <v>3</v>
      </c>
      <c r="H9" t="s">
        <v>11</v>
      </c>
      <c r="I9">
        <v>7627</v>
      </c>
      <c r="J9" t="str">
        <f t="shared" si="0"/>
        <v>ER</v>
      </c>
      <c r="K9" t="str">
        <f t="shared" si="1"/>
        <v>YES</v>
      </c>
      <c r="L9">
        <f t="shared" si="2"/>
        <v>3</v>
      </c>
      <c r="M9" t="str">
        <f t="shared" si="3"/>
        <v>Match</v>
      </c>
      <c r="N9">
        <f>_xlfn.XLOOKUP(UPPER(TRIM(SUBSTITUTE(J9,CHAR(160)," "))),Departments!A:A,Departments!C:C,"")</f>
        <v>2</v>
      </c>
      <c r="O9" t="str">
        <f t="shared" si="4"/>
        <v>Above Target</v>
      </c>
    </row>
    <row r="10" spans="1:15" x14ac:dyDescent="0.2">
      <c r="A10">
        <v>2009</v>
      </c>
      <c r="B10">
        <v>86</v>
      </c>
      <c r="C10" t="s">
        <v>12</v>
      </c>
      <c r="D10" t="s">
        <v>13</v>
      </c>
      <c r="E10" s="2">
        <v>45351</v>
      </c>
      <c r="F10" s="2">
        <v>45358</v>
      </c>
      <c r="G10">
        <v>7</v>
      </c>
      <c r="H10" t="s">
        <v>11</v>
      </c>
      <c r="I10">
        <v>17184</v>
      </c>
      <c r="J10" t="str">
        <f t="shared" si="0"/>
        <v>CARDIOLOGY</v>
      </c>
      <c r="K10" t="str">
        <f t="shared" si="1"/>
        <v>YES</v>
      </c>
      <c r="L10">
        <f t="shared" si="2"/>
        <v>7</v>
      </c>
      <c r="M10" t="str">
        <f t="shared" si="3"/>
        <v>Match</v>
      </c>
      <c r="N10">
        <f>_xlfn.XLOOKUP(UPPER(TRIM(SUBSTITUTE(J10,CHAR(160)," "))),Departments!A:A,Departments!C:C,"")</f>
        <v>5</v>
      </c>
      <c r="O10" t="str">
        <f t="shared" si="4"/>
        <v>Above Target</v>
      </c>
    </row>
    <row r="11" spans="1:15" x14ac:dyDescent="0.2">
      <c r="A11">
        <v>2010</v>
      </c>
      <c r="B11">
        <v>51</v>
      </c>
      <c r="C11" t="s">
        <v>12</v>
      </c>
      <c r="D11" t="s">
        <v>13</v>
      </c>
      <c r="E11" s="2">
        <v>45313</v>
      </c>
      <c r="F11" s="2">
        <v>45322</v>
      </c>
      <c r="G11">
        <v>9</v>
      </c>
      <c r="H11" t="s">
        <v>14</v>
      </c>
      <c r="I11">
        <v>23230</v>
      </c>
      <c r="J11" t="str">
        <f t="shared" si="0"/>
        <v>CARDIOLOGY</v>
      </c>
      <c r="K11" t="str">
        <f t="shared" si="1"/>
        <v>NO</v>
      </c>
      <c r="L11">
        <f t="shared" si="2"/>
        <v>9</v>
      </c>
      <c r="M11" t="str">
        <f t="shared" si="3"/>
        <v>Match</v>
      </c>
      <c r="N11">
        <f>_xlfn.XLOOKUP(UPPER(TRIM(SUBSTITUTE(J11,CHAR(160)," "))),Departments!A:A,Departments!C:C,"")</f>
        <v>5</v>
      </c>
      <c r="O11" t="str">
        <f t="shared" si="4"/>
        <v>Above Target</v>
      </c>
    </row>
    <row r="12" spans="1:15" x14ac:dyDescent="0.2">
      <c r="A12">
        <v>2011</v>
      </c>
      <c r="B12">
        <v>46</v>
      </c>
      <c r="C12" t="s">
        <v>12</v>
      </c>
      <c r="D12" t="s">
        <v>17</v>
      </c>
      <c r="E12" s="2">
        <v>45311</v>
      </c>
      <c r="F12" s="2">
        <v>45314</v>
      </c>
      <c r="G12">
        <v>3</v>
      </c>
      <c r="H12" t="s">
        <v>14</v>
      </c>
      <c r="I12">
        <v>12673</v>
      </c>
      <c r="J12" t="str">
        <f t="shared" si="0"/>
        <v>ORTHOPEDICS</v>
      </c>
      <c r="K12" t="str">
        <f t="shared" si="1"/>
        <v>NO</v>
      </c>
      <c r="L12">
        <f t="shared" si="2"/>
        <v>3</v>
      </c>
      <c r="M12" t="str">
        <f t="shared" si="3"/>
        <v>Match</v>
      </c>
      <c r="N12">
        <f>_xlfn.XLOOKUP(UPPER(TRIM(SUBSTITUTE(J12,CHAR(160)," "))),Departments!A:A,Departments!C:C,"")</f>
        <v>6</v>
      </c>
      <c r="O12" t="str">
        <f t="shared" si="4"/>
        <v>Within Target</v>
      </c>
    </row>
    <row r="13" spans="1:15" x14ac:dyDescent="0.2">
      <c r="A13">
        <v>2012</v>
      </c>
      <c r="B13">
        <v>1</v>
      </c>
      <c r="C13" t="s">
        <v>9</v>
      </c>
      <c r="D13" t="s">
        <v>15</v>
      </c>
      <c r="E13" s="2">
        <v>45360</v>
      </c>
      <c r="F13" s="2">
        <v>45361</v>
      </c>
      <c r="G13">
        <v>1</v>
      </c>
      <c r="H13" t="s">
        <v>14</v>
      </c>
      <c r="I13">
        <v>5203</v>
      </c>
      <c r="J13" t="str">
        <f t="shared" si="0"/>
        <v>ER</v>
      </c>
      <c r="K13" t="str">
        <f t="shared" si="1"/>
        <v>NO</v>
      </c>
      <c r="L13">
        <f t="shared" si="2"/>
        <v>1</v>
      </c>
      <c r="M13" t="str">
        <f t="shared" si="3"/>
        <v>Match</v>
      </c>
      <c r="N13">
        <f>_xlfn.XLOOKUP(UPPER(TRIM(SUBSTITUTE(J13,CHAR(160)," "))),Departments!A:A,Departments!C:C,"")</f>
        <v>2</v>
      </c>
      <c r="O13" t="str">
        <f t="shared" si="4"/>
        <v>Within Target</v>
      </c>
    </row>
    <row r="14" spans="1:15" x14ac:dyDescent="0.2">
      <c r="A14">
        <v>2013</v>
      </c>
      <c r="B14">
        <v>7</v>
      </c>
      <c r="C14" t="s">
        <v>12</v>
      </c>
      <c r="D14" t="s">
        <v>16</v>
      </c>
      <c r="E14" s="2">
        <v>45363</v>
      </c>
      <c r="F14" s="2">
        <v>45367</v>
      </c>
      <c r="G14">
        <v>4</v>
      </c>
      <c r="H14" t="s">
        <v>14</v>
      </c>
      <c r="I14">
        <v>10240</v>
      </c>
      <c r="J14" t="str">
        <f t="shared" si="0"/>
        <v>PEDIATRICS</v>
      </c>
      <c r="K14" t="str">
        <f t="shared" si="1"/>
        <v>NO</v>
      </c>
      <c r="L14">
        <f t="shared" si="2"/>
        <v>4</v>
      </c>
      <c r="M14" t="str">
        <f t="shared" si="3"/>
        <v>Match</v>
      </c>
      <c r="N14">
        <f>_xlfn.XLOOKUP(UPPER(TRIM(SUBSTITUTE(J14,CHAR(160)," "))),Departments!A:A,Departments!C:C,"")</f>
        <v>3</v>
      </c>
      <c r="O14" t="str">
        <f t="shared" si="4"/>
        <v>Above Target</v>
      </c>
    </row>
    <row r="15" spans="1:15" x14ac:dyDescent="0.2">
      <c r="A15">
        <v>2014</v>
      </c>
      <c r="B15">
        <v>57</v>
      </c>
      <c r="C15" t="s">
        <v>9</v>
      </c>
      <c r="D15" t="s">
        <v>18</v>
      </c>
      <c r="E15" s="2">
        <v>45335</v>
      </c>
      <c r="F15" s="2">
        <v>45337</v>
      </c>
      <c r="G15">
        <v>2</v>
      </c>
      <c r="H15" t="s">
        <v>11</v>
      </c>
      <c r="I15">
        <v>12629</v>
      </c>
      <c r="J15" t="str">
        <f t="shared" si="0"/>
        <v xml:space="preserve"> CARDIOLOGY  </v>
      </c>
      <c r="K15" t="str">
        <f t="shared" si="1"/>
        <v>YES</v>
      </c>
      <c r="L15">
        <f t="shared" si="2"/>
        <v>2</v>
      </c>
      <c r="M15" t="str">
        <f t="shared" si="3"/>
        <v>Match</v>
      </c>
      <c r="N15">
        <f>_xlfn.XLOOKUP(UPPER(TRIM(SUBSTITUTE(J15,CHAR(160)," "))),Departments!A:A,Departments!C:C,"")</f>
        <v>5</v>
      </c>
      <c r="O15" t="str">
        <f t="shared" si="4"/>
        <v>Within Target</v>
      </c>
    </row>
    <row r="16" spans="1:15" x14ac:dyDescent="0.2">
      <c r="A16">
        <v>2015</v>
      </c>
      <c r="B16">
        <v>27</v>
      </c>
      <c r="C16" t="s">
        <v>12</v>
      </c>
      <c r="D16" t="s">
        <v>17</v>
      </c>
      <c r="E16" s="2">
        <v>45373</v>
      </c>
      <c r="F16" s="2">
        <v>45379</v>
      </c>
      <c r="G16">
        <v>6</v>
      </c>
      <c r="H16" t="s">
        <v>14</v>
      </c>
      <c r="I16">
        <v>20743</v>
      </c>
      <c r="J16" t="str">
        <f t="shared" si="0"/>
        <v>ORTHOPEDICS</v>
      </c>
      <c r="K16" t="str">
        <f t="shared" si="1"/>
        <v>NO</v>
      </c>
      <c r="L16">
        <f t="shared" si="2"/>
        <v>6</v>
      </c>
      <c r="M16" t="str">
        <f t="shared" si="3"/>
        <v>Match</v>
      </c>
      <c r="N16">
        <f>_xlfn.XLOOKUP(UPPER(TRIM(SUBSTITUTE(J16,CHAR(160)," "))),Departments!A:A,Departments!C:C,"")</f>
        <v>6</v>
      </c>
      <c r="O16" t="str">
        <f t="shared" si="4"/>
        <v>Within Target</v>
      </c>
    </row>
    <row r="17" spans="1:15" x14ac:dyDescent="0.2">
      <c r="A17">
        <v>2016</v>
      </c>
      <c r="B17">
        <v>62</v>
      </c>
      <c r="C17" t="s">
        <v>12</v>
      </c>
      <c r="D17" t="s">
        <v>19</v>
      </c>
      <c r="E17" s="2">
        <v>45302</v>
      </c>
      <c r="F17" s="2">
        <v>45307</v>
      </c>
      <c r="G17">
        <v>5</v>
      </c>
      <c r="H17" t="s">
        <v>11</v>
      </c>
      <c r="I17">
        <v>17221</v>
      </c>
      <c r="J17" t="str">
        <f t="shared" si="0"/>
        <v>NEUROLOGY</v>
      </c>
      <c r="K17" t="str">
        <f t="shared" si="1"/>
        <v>YES</v>
      </c>
      <c r="L17">
        <f t="shared" si="2"/>
        <v>5</v>
      </c>
      <c r="M17" t="str">
        <f t="shared" si="3"/>
        <v>Match</v>
      </c>
      <c r="N17">
        <f>_xlfn.XLOOKUP(UPPER(TRIM(SUBSTITUTE(J17,CHAR(160)," "))),Departments!A:A,Departments!C:C,"")</f>
        <v>7</v>
      </c>
      <c r="O17" t="str">
        <f t="shared" si="4"/>
        <v>Within Target</v>
      </c>
    </row>
    <row r="18" spans="1:15" x14ac:dyDescent="0.2">
      <c r="A18">
        <v>2017</v>
      </c>
      <c r="B18">
        <v>68</v>
      </c>
      <c r="C18" t="s">
        <v>12</v>
      </c>
      <c r="D18" t="s">
        <v>17</v>
      </c>
      <c r="E18" s="2">
        <v>45380</v>
      </c>
      <c r="F18" s="2">
        <v>45390</v>
      </c>
      <c r="G18">
        <v>10</v>
      </c>
      <c r="H18" t="s">
        <v>14</v>
      </c>
      <c r="I18">
        <v>27620</v>
      </c>
      <c r="J18" t="str">
        <f t="shared" si="0"/>
        <v>ORTHOPEDICS</v>
      </c>
      <c r="K18" t="str">
        <f t="shared" si="1"/>
        <v>NO</v>
      </c>
      <c r="L18">
        <f t="shared" si="2"/>
        <v>10</v>
      </c>
      <c r="M18" t="str">
        <f t="shared" si="3"/>
        <v>Match</v>
      </c>
      <c r="N18">
        <f>_xlfn.XLOOKUP(UPPER(TRIM(SUBSTITUTE(J18,CHAR(160)," "))),Departments!A:A,Departments!C:C,"")</f>
        <v>6</v>
      </c>
      <c r="O18" t="str">
        <f t="shared" si="4"/>
        <v>Above Target</v>
      </c>
    </row>
    <row r="19" spans="1:15" x14ac:dyDescent="0.2">
      <c r="A19">
        <v>2018</v>
      </c>
      <c r="B19">
        <v>47</v>
      </c>
      <c r="C19" t="s">
        <v>9</v>
      </c>
      <c r="D19" t="s">
        <v>20</v>
      </c>
      <c r="E19" s="2">
        <v>45320</v>
      </c>
      <c r="F19" s="2">
        <v>45331</v>
      </c>
      <c r="G19">
        <v>11</v>
      </c>
      <c r="H19" t="s">
        <v>14</v>
      </c>
      <c r="I19">
        <v>29594</v>
      </c>
      <c r="J19" t="str">
        <f t="shared" si="0"/>
        <v>NEUROLOGY</v>
      </c>
      <c r="K19" t="str">
        <f t="shared" si="1"/>
        <v>NO</v>
      </c>
      <c r="L19">
        <f t="shared" si="2"/>
        <v>11</v>
      </c>
      <c r="M19" t="str">
        <f t="shared" si="3"/>
        <v>Match</v>
      </c>
      <c r="N19">
        <f>_xlfn.XLOOKUP(UPPER(TRIM(SUBSTITUTE(J19,CHAR(160)," "))),Departments!A:A,Departments!C:C,"")</f>
        <v>7</v>
      </c>
      <c r="O19" t="str">
        <f t="shared" si="4"/>
        <v>Above Target</v>
      </c>
    </row>
    <row r="20" spans="1:15" x14ac:dyDescent="0.2">
      <c r="A20">
        <v>2019</v>
      </c>
      <c r="B20">
        <v>25</v>
      </c>
      <c r="C20" t="s">
        <v>9</v>
      </c>
      <c r="D20" t="s">
        <v>15</v>
      </c>
      <c r="E20" s="2">
        <v>45321</v>
      </c>
      <c r="G20">
        <v>1</v>
      </c>
      <c r="H20" t="s">
        <v>14</v>
      </c>
      <c r="J20" t="str">
        <f t="shared" si="0"/>
        <v>ER</v>
      </c>
      <c r="K20" t="str">
        <f t="shared" si="1"/>
        <v>NO</v>
      </c>
      <c r="L20" t="str">
        <f t="shared" si="2"/>
        <v/>
      </c>
      <c r="M20" t="str">
        <f t="shared" si="3"/>
        <v/>
      </c>
      <c r="N20">
        <f>_xlfn.XLOOKUP(UPPER(TRIM(SUBSTITUTE(J20,CHAR(160)," "))),Departments!A:A,Departments!C:C,"")</f>
        <v>2</v>
      </c>
      <c r="O20" t="str">
        <f t="shared" si="4"/>
        <v/>
      </c>
    </row>
    <row r="21" spans="1:15" x14ac:dyDescent="0.2">
      <c r="A21">
        <v>2020</v>
      </c>
      <c r="B21">
        <v>89</v>
      </c>
      <c r="C21" t="s">
        <v>12</v>
      </c>
      <c r="D21" t="s">
        <v>15</v>
      </c>
      <c r="E21" s="2">
        <v>45336</v>
      </c>
      <c r="F21" s="2">
        <v>45337</v>
      </c>
      <c r="G21">
        <v>1</v>
      </c>
      <c r="H21" t="s">
        <v>11</v>
      </c>
      <c r="I21">
        <v>3273</v>
      </c>
      <c r="J21" t="str">
        <f t="shared" si="0"/>
        <v>ER</v>
      </c>
      <c r="K21" t="str">
        <f t="shared" si="1"/>
        <v>YES</v>
      </c>
      <c r="L21">
        <f t="shared" si="2"/>
        <v>1</v>
      </c>
      <c r="M21" t="str">
        <f t="shared" si="3"/>
        <v>Match</v>
      </c>
      <c r="N21">
        <f>_xlfn.XLOOKUP(UPPER(TRIM(SUBSTITUTE(J21,CHAR(160)," "))),Departments!A:A,Departments!C:C,"")</f>
        <v>2</v>
      </c>
      <c r="O21" t="str">
        <f t="shared" si="4"/>
        <v>Within Target</v>
      </c>
    </row>
    <row r="22" spans="1:15" x14ac:dyDescent="0.2">
      <c r="A22">
        <v>2021</v>
      </c>
      <c r="B22">
        <v>79</v>
      </c>
      <c r="C22" t="s">
        <v>9</v>
      </c>
      <c r="D22" t="s">
        <v>15</v>
      </c>
      <c r="E22" s="2">
        <v>45375</v>
      </c>
      <c r="F22" s="2">
        <v>45376</v>
      </c>
      <c r="G22">
        <v>1</v>
      </c>
      <c r="H22" t="s">
        <v>14</v>
      </c>
      <c r="I22">
        <v>4482</v>
      </c>
      <c r="J22" t="str">
        <f t="shared" si="0"/>
        <v>ER</v>
      </c>
      <c r="K22" t="str">
        <f t="shared" si="1"/>
        <v>NO</v>
      </c>
      <c r="L22">
        <f t="shared" si="2"/>
        <v>1</v>
      </c>
      <c r="M22" t="str">
        <f t="shared" si="3"/>
        <v>Match</v>
      </c>
      <c r="N22">
        <f>_xlfn.XLOOKUP(UPPER(TRIM(SUBSTITUTE(J22,CHAR(160)," "))),Departments!A:A,Departments!C:C,"")</f>
        <v>2</v>
      </c>
      <c r="O22" t="str">
        <f t="shared" si="4"/>
        <v>Within Target</v>
      </c>
    </row>
    <row r="23" spans="1:15" x14ac:dyDescent="0.2">
      <c r="A23">
        <v>2022</v>
      </c>
      <c r="B23">
        <v>62</v>
      </c>
      <c r="C23" t="s">
        <v>9</v>
      </c>
      <c r="D23" t="s">
        <v>15</v>
      </c>
      <c r="E23" s="2">
        <v>45373</v>
      </c>
      <c r="F23" s="2">
        <v>45374</v>
      </c>
      <c r="G23">
        <v>1</v>
      </c>
      <c r="H23" t="s">
        <v>11</v>
      </c>
      <c r="I23">
        <v>4358</v>
      </c>
      <c r="J23" t="str">
        <f t="shared" si="0"/>
        <v>ER</v>
      </c>
      <c r="K23" t="str">
        <f t="shared" si="1"/>
        <v>YES</v>
      </c>
      <c r="L23">
        <f t="shared" si="2"/>
        <v>1</v>
      </c>
      <c r="M23" t="str">
        <f t="shared" si="3"/>
        <v>Match</v>
      </c>
      <c r="N23">
        <f>_xlfn.XLOOKUP(UPPER(TRIM(SUBSTITUTE(J23,CHAR(160)," "))),Departments!A:A,Departments!C:C,"")</f>
        <v>2</v>
      </c>
      <c r="O23" t="str">
        <f t="shared" si="4"/>
        <v>Within Target</v>
      </c>
    </row>
    <row r="24" spans="1:15" x14ac:dyDescent="0.2">
      <c r="A24">
        <v>2023</v>
      </c>
      <c r="B24">
        <v>17</v>
      </c>
      <c r="C24" t="s">
        <v>9</v>
      </c>
      <c r="D24" t="s">
        <v>17</v>
      </c>
      <c r="E24" s="2">
        <v>45367</v>
      </c>
      <c r="F24" s="2">
        <v>45376</v>
      </c>
      <c r="G24">
        <v>9</v>
      </c>
      <c r="H24" t="s">
        <v>14</v>
      </c>
      <c r="I24">
        <v>19243</v>
      </c>
      <c r="J24" t="str">
        <f t="shared" si="0"/>
        <v>ORTHOPEDICS</v>
      </c>
      <c r="K24" t="str">
        <f t="shared" si="1"/>
        <v>NO</v>
      </c>
      <c r="L24">
        <f t="shared" si="2"/>
        <v>9</v>
      </c>
      <c r="M24" t="str">
        <f t="shared" si="3"/>
        <v>Match</v>
      </c>
      <c r="N24">
        <f>_xlfn.XLOOKUP(UPPER(TRIM(SUBSTITUTE(J24,CHAR(160)," "))),Departments!A:A,Departments!C:C,"")</f>
        <v>6</v>
      </c>
      <c r="O24" t="str">
        <f t="shared" si="4"/>
        <v>Above Target</v>
      </c>
    </row>
    <row r="25" spans="1:15" x14ac:dyDescent="0.2">
      <c r="A25">
        <v>2024</v>
      </c>
      <c r="B25">
        <v>71</v>
      </c>
      <c r="C25" t="s">
        <v>9</v>
      </c>
      <c r="D25" t="s">
        <v>21</v>
      </c>
      <c r="E25" s="2">
        <v>45293</v>
      </c>
      <c r="F25" s="2">
        <v>45296</v>
      </c>
      <c r="G25">
        <v>3</v>
      </c>
      <c r="H25" t="s">
        <v>14</v>
      </c>
      <c r="I25">
        <v>12643</v>
      </c>
      <c r="J25" t="str">
        <f t="shared" si="0"/>
        <v>CARDIOLOGY</v>
      </c>
      <c r="K25" t="str">
        <f t="shared" si="1"/>
        <v>NO</v>
      </c>
      <c r="L25">
        <f t="shared" si="2"/>
        <v>3</v>
      </c>
      <c r="M25" t="str">
        <f t="shared" si="3"/>
        <v>Match</v>
      </c>
      <c r="N25">
        <f>_xlfn.XLOOKUP(UPPER(TRIM(SUBSTITUTE(J25,CHAR(160)," "))),Departments!A:A,Departments!C:C,"")</f>
        <v>5</v>
      </c>
      <c r="O25" t="str">
        <f t="shared" si="4"/>
        <v>Within Target</v>
      </c>
    </row>
    <row r="26" spans="1:15" x14ac:dyDescent="0.2">
      <c r="A26">
        <v>2025</v>
      </c>
      <c r="B26">
        <v>28</v>
      </c>
      <c r="C26" t="s">
        <v>12</v>
      </c>
      <c r="D26" t="s">
        <v>22</v>
      </c>
      <c r="E26" s="2">
        <v>45322</v>
      </c>
      <c r="F26" s="2">
        <v>45336</v>
      </c>
      <c r="G26">
        <v>14</v>
      </c>
      <c r="H26" t="s">
        <v>14</v>
      </c>
      <c r="I26">
        <v>29848</v>
      </c>
      <c r="J26" t="str">
        <f t="shared" si="0"/>
        <v>ONCOLOGY</v>
      </c>
      <c r="K26" t="str">
        <f t="shared" si="1"/>
        <v>NO</v>
      </c>
      <c r="L26">
        <f t="shared" si="2"/>
        <v>14</v>
      </c>
      <c r="M26" t="str">
        <f t="shared" si="3"/>
        <v>Match</v>
      </c>
      <c r="N26">
        <f>_xlfn.XLOOKUP(UPPER(TRIM(SUBSTITUTE(J26,CHAR(160)," "))),Departments!A:A,Departments!C:C,"")</f>
        <v>6</v>
      </c>
      <c r="O26" t="str">
        <f t="shared" si="4"/>
        <v>Above Target</v>
      </c>
    </row>
    <row r="27" spans="1:15" x14ac:dyDescent="0.2">
      <c r="A27">
        <v>2026</v>
      </c>
      <c r="B27">
        <v>59</v>
      </c>
      <c r="C27" t="s">
        <v>12</v>
      </c>
      <c r="D27" t="s">
        <v>22</v>
      </c>
      <c r="E27" s="2">
        <v>45308</v>
      </c>
      <c r="F27" s="2">
        <v>45318</v>
      </c>
      <c r="G27">
        <v>10</v>
      </c>
      <c r="H27" t="s">
        <v>11</v>
      </c>
      <c r="I27">
        <v>28188</v>
      </c>
      <c r="J27" t="str">
        <f t="shared" si="0"/>
        <v>ONCOLOGY</v>
      </c>
      <c r="K27" t="str">
        <f t="shared" si="1"/>
        <v>YES</v>
      </c>
      <c r="L27">
        <f t="shared" si="2"/>
        <v>10</v>
      </c>
      <c r="M27" t="str">
        <f t="shared" si="3"/>
        <v>Match</v>
      </c>
      <c r="N27">
        <f>_xlfn.XLOOKUP(UPPER(TRIM(SUBSTITUTE(J27,CHAR(160)," "))),Departments!A:A,Departments!C:C,"")</f>
        <v>6</v>
      </c>
      <c r="O27" t="str">
        <f t="shared" si="4"/>
        <v>Above Target</v>
      </c>
    </row>
    <row r="28" spans="1:15" x14ac:dyDescent="0.2">
      <c r="A28">
        <v>2027</v>
      </c>
      <c r="B28">
        <v>20</v>
      </c>
      <c r="C28" t="s">
        <v>9</v>
      </c>
      <c r="D28" t="s">
        <v>17</v>
      </c>
      <c r="E28" s="2">
        <v>45352</v>
      </c>
      <c r="F28" s="2">
        <v>45363</v>
      </c>
      <c r="G28">
        <v>11</v>
      </c>
      <c r="H28" t="s">
        <v>14</v>
      </c>
      <c r="I28">
        <v>29755</v>
      </c>
      <c r="J28" t="str">
        <f t="shared" si="0"/>
        <v>ORTHOPEDICS</v>
      </c>
      <c r="K28" t="str">
        <f t="shared" si="1"/>
        <v>NO</v>
      </c>
      <c r="L28">
        <f t="shared" si="2"/>
        <v>11</v>
      </c>
      <c r="M28" t="str">
        <f t="shared" si="3"/>
        <v>Match</v>
      </c>
      <c r="N28">
        <f>_xlfn.XLOOKUP(UPPER(TRIM(SUBSTITUTE(J28,CHAR(160)," "))),Departments!A:A,Departments!C:C,"")</f>
        <v>6</v>
      </c>
      <c r="O28" t="str">
        <f t="shared" si="4"/>
        <v>Above Target</v>
      </c>
    </row>
    <row r="29" spans="1:15" x14ac:dyDescent="0.2">
      <c r="A29">
        <v>2028</v>
      </c>
      <c r="B29">
        <v>14</v>
      </c>
      <c r="C29" t="s">
        <v>9</v>
      </c>
      <c r="D29" t="s">
        <v>23</v>
      </c>
      <c r="E29" s="2">
        <v>45316</v>
      </c>
      <c r="G29">
        <v>6</v>
      </c>
      <c r="H29" t="s">
        <v>11</v>
      </c>
      <c r="I29">
        <v>14839</v>
      </c>
      <c r="J29" t="str">
        <f t="shared" si="0"/>
        <v xml:space="preserve"> ORTHOPEDICS  </v>
      </c>
      <c r="K29" t="str">
        <f t="shared" si="1"/>
        <v>YES</v>
      </c>
      <c r="L29" t="str">
        <f t="shared" si="2"/>
        <v/>
      </c>
      <c r="M29" t="str">
        <f t="shared" si="3"/>
        <v/>
      </c>
      <c r="N29">
        <f>_xlfn.XLOOKUP(UPPER(TRIM(SUBSTITUTE(J29,CHAR(160)," "))),Departments!A:A,Departments!C:C,"")</f>
        <v>6</v>
      </c>
      <c r="O29" t="str">
        <f t="shared" si="4"/>
        <v/>
      </c>
    </row>
    <row r="30" spans="1:15" x14ac:dyDescent="0.2">
      <c r="A30">
        <v>2029</v>
      </c>
      <c r="B30">
        <v>42</v>
      </c>
      <c r="C30" t="s">
        <v>9</v>
      </c>
      <c r="D30" t="s">
        <v>16</v>
      </c>
      <c r="E30" s="2">
        <v>45327</v>
      </c>
      <c r="F30" s="2">
        <v>45331</v>
      </c>
      <c r="G30">
        <v>4</v>
      </c>
      <c r="H30" t="s">
        <v>14</v>
      </c>
      <c r="I30">
        <v>11755</v>
      </c>
      <c r="J30" t="str">
        <f t="shared" si="0"/>
        <v>PEDIATRICS</v>
      </c>
      <c r="K30" t="str">
        <f t="shared" si="1"/>
        <v>NO</v>
      </c>
      <c r="L30">
        <f t="shared" si="2"/>
        <v>4</v>
      </c>
      <c r="M30" t="str">
        <f t="shared" si="3"/>
        <v>Match</v>
      </c>
      <c r="N30">
        <f>_xlfn.XLOOKUP(UPPER(TRIM(SUBSTITUTE(J30,CHAR(160)," "))),Departments!A:A,Departments!C:C,"")</f>
        <v>3</v>
      </c>
      <c r="O30" t="str">
        <f t="shared" si="4"/>
        <v>Above Target</v>
      </c>
    </row>
    <row r="31" spans="1:15" x14ac:dyDescent="0.2">
      <c r="A31">
        <v>2030</v>
      </c>
      <c r="B31">
        <v>34</v>
      </c>
      <c r="C31" t="s">
        <v>9</v>
      </c>
      <c r="D31" t="s">
        <v>15</v>
      </c>
      <c r="E31" s="2">
        <v>45309</v>
      </c>
      <c r="F31" s="2">
        <v>45311</v>
      </c>
      <c r="G31">
        <v>2</v>
      </c>
      <c r="H31" t="s">
        <v>11</v>
      </c>
      <c r="I31">
        <v>5957</v>
      </c>
      <c r="J31" t="str">
        <f t="shared" si="0"/>
        <v>ER</v>
      </c>
      <c r="K31" t="str">
        <f t="shared" si="1"/>
        <v>YES</v>
      </c>
      <c r="L31">
        <f t="shared" si="2"/>
        <v>2</v>
      </c>
      <c r="M31" t="str">
        <f t="shared" si="3"/>
        <v>Match</v>
      </c>
      <c r="N31">
        <f>_xlfn.XLOOKUP(UPPER(TRIM(SUBSTITUTE(J31,CHAR(160)," "))),Departments!A:A,Departments!C:C,"")</f>
        <v>2</v>
      </c>
      <c r="O31" t="str">
        <f t="shared" si="4"/>
        <v>Within Target</v>
      </c>
    </row>
    <row r="32" spans="1:15" x14ac:dyDescent="0.2">
      <c r="A32">
        <v>2031</v>
      </c>
      <c r="B32">
        <v>16</v>
      </c>
      <c r="C32" t="s">
        <v>9</v>
      </c>
      <c r="D32" t="s">
        <v>16</v>
      </c>
      <c r="E32" s="2">
        <v>45374</v>
      </c>
      <c r="F32" s="2">
        <v>45377</v>
      </c>
      <c r="G32">
        <v>3</v>
      </c>
      <c r="H32" t="s">
        <v>14</v>
      </c>
      <c r="I32">
        <v>8724</v>
      </c>
      <c r="J32" t="str">
        <f t="shared" si="0"/>
        <v>PEDIATRICS</v>
      </c>
      <c r="K32" t="str">
        <f t="shared" si="1"/>
        <v>NO</v>
      </c>
      <c r="L32">
        <f t="shared" si="2"/>
        <v>3</v>
      </c>
      <c r="M32" t="str">
        <f t="shared" si="3"/>
        <v>Match</v>
      </c>
      <c r="N32">
        <f>_xlfn.XLOOKUP(UPPER(TRIM(SUBSTITUTE(J32,CHAR(160)," "))),Departments!A:A,Departments!C:C,"")</f>
        <v>3</v>
      </c>
      <c r="O32" t="str">
        <f t="shared" si="4"/>
        <v>Within Target</v>
      </c>
    </row>
    <row r="33" spans="1:15" x14ac:dyDescent="0.2">
      <c r="A33">
        <v>2032</v>
      </c>
      <c r="B33">
        <v>21</v>
      </c>
      <c r="C33" t="s">
        <v>9</v>
      </c>
      <c r="D33" t="s">
        <v>17</v>
      </c>
      <c r="E33" s="2">
        <v>45347</v>
      </c>
      <c r="F33" s="2">
        <v>45357</v>
      </c>
      <c r="G33">
        <v>10</v>
      </c>
      <c r="H33" t="s">
        <v>14</v>
      </c>
      <c r="I33">
        <v>25220</v>
      </c>
      <c r="J33" t="str">
        <f t="shared" si="0"/>
        <v>ORTHOPEDICS</v>
      </c>
      <c r="K33" t="str">
        <f t="shared" si="1"/>
        <v>NO</v>
      </c>
      <c r="L33">
        <f t="shared" si="2"/>
        <v>10</v>
      </c>
      <c r="M33" t="str">
        <f t="shared" si="3"/>
        <v>Match</v>
      </c>
      <c r="N33">
        <f>_xlfn.XLOOKUP(UPPER(TRIM(SUBSTITUTE(J33,CHAR(160)," "))),Departments!A:A,Departments!C:C,"")</f>
        <v>6</v>
      </c>
      <c r="O33" t="str">
        <f t="shared" si="4"/>
        <v>Above Target</v>
      </c>
    </row>
    <row r="34" spans="1:15" x14ac:dyDescent="0.2">
      <c r="A34">
        <v>2033</v>
      </c>
      <c r="B34">
        <v>59</v>
      </c>
      <c r="C34" t="s">
        <v>12</v>
      </c>
      <c r="D34" t="s">
        <v>16</v>
      </c>
      <c r="E34" s="2">
        <v>45294</v>
      </c>
      <c r="F34" s="2">
        <v>45298</v>
      </c>
      <c r="G34">
        <v>4</v>
      </c>
      <c r="H34" t="s">
        <v>14</v>
      </c>
      <c r="I34">
        <v>12513</v>
      </c>
      <c r="J34" t="str">
        <f t="shared" si="0"/>
        <v>PEDIATRICS</v>
      </c>
      <c r="K34" t="str">
        <f t="shared" si="1"/>
        <v>NO</v>
      </c>
      <c r="L34">
        <f t="shared" si="2"/>
        <v>4</v>
      </c>
      <c r="M34" t="str">
        <f t="shared" si="3"/>
        <v>Match</v>
      </c>
      <c r="N34">
        <f>_xlfn.XLOOKUP(UPPER(TRIM(SUBSTITUTE(J34,CHAR(160)," "))),Departments!A:A,Departments!C:C,"")</f>
        <v>3</v>
      </c>
      <c r="O34" t="str">
        <f t="shared" si="4"/>
        <v>Above Target</v>
      </c>
    </row>
    <row r="35" spans="1:15" x14ac:dyDescent="0.2">
      <c r="A35">
        <v>2034</v>
      </c>
      <c r="B35">
        <v>14</v>
      </c>
      <c r="C35" t="s">
        <v>9</v>
      </c>
      <c r="D35" t="s">
        <v>20</v>
      </c>
      <c r="E35" s="2">
        <v>45326</v>
      </c>
      <c r="F35" s="2">
        <v>45329</v>
      </c>
      <c r="G35">
        <v>3</v>
      </c>
      <c r="H35" t="s">
        <v>14</v>
      </c>
      <c r="I35">
        <v>12066</v>
      </c>
      <c r="J35" t="str">
        <f t="shared" si="0"/>
        <v>NEUROLOGY</v>
      </c>
      <c r="K35" t="str">
        <f t="shared" si="1"/>
        <v>NO</v>
      </c>
      <c r="L35">
        <f t="shared" si="2"/>
        <v>3</v>
      </c>
      <c r="M35" t="str">
        <f t="shared" si="3"/>
        <v>Match</v>
      </c>
      <c r="N35">
        <f>_xlfn.XLOOKUP(UPPER(TRIM(SUBSTITUTE(J35,CHAR(160)," "))),Departments!A:A,Departments!C:C,"")</f>
        <v>7</v>
      </c>
      <c r="O35" t="str">
        <f t="shared" si="4"/>
        <v>Within Target</v>
      </c>
    </row>
    <row r="36" spans="1:15" x14ac:dyDescent="0.2">
      <c r="A36">
        <v>2035</v>
      </c>
      <c r="B36">
        <v>34</v>
      </c>
      <c r="C36" t="s">
        <v>12</v>
      </c>
      <c r="D36" t="s">
        <v>17</v>
      </c>
      <c r="E36" s="2">
        <v>45360</v>
      </c>
      <c r="F36" s="2">
        <v>45370</v>
      </c>
      <c r="G36">
        <v>10</v>
      </c>
      <c r="H36" t="s">
        <v>14</v>
      </c>
      <c r="I36">
        <v>23073</v>
      </c>
      <c r="J36" t="str">
        <f t="shared" si="0"/>
        <v>ORTHOPEDICS</v>
      </c>
      <c r="K36" t="str">
        <f t="shared" si="1"/>
        <v>NO</v>
      </c>
      <c r="L36">
        <f t="shared" si="2"/>
        <v>10</v>
      </c>
      <c r="M36" t="str">
        <f t="shared" si="3"/>
        <v>Match</v>
      </c>
      <c r="N36">
        <f>_xlfn.XLOOKUP(UPPER(TRIM(SUBSTITUTE(J36,CHAR(160)," "))),Departments!A:A,Departments!C:C,"")</f>
        <v>6</v>
      </c>
      <c r="O36" t="str">
        <f t="shared" si="4"/>
        <v>Above Target</v>
      </c>
    </row>
    <row r="37" spans="1:15" x14ac:dyDescent="0.2">
      <c r="A37">
        <v>2036</v>
      </c>
      <c r="B37">
        <v>35</v>
      </c>
      <c r="C37" t="s">
        <v>9</v>
      </c>
      <c r="D37" t="s">
        <v>16</v>
      </c>
      <c r="E37" s="2">
        <v>45303</v>
      </c>
      <c r="F37" s="2">
        <v>45306</v>
      </c>
      <c r="H37" t="s">
        <v>11</v>
      </c>
      <c r="I37">
        <v>7401</v>
      </c>
      <c r="J37" t="str">
        <f t="shared" si="0"/>
        <v>PEDIATRICS</v>
      </c>
      <c r="K37" t="str">
        <f t="shared" si="1"/>
        <v>YES</v>
      </c>
      <c r="L37">
        <f t="shared" si="2"/>
        <v>3</v>
      </c>
      <c r="M37" t="str">
        <f t="shared" si="3"/>
        <v/>
      </c>
      <c r="N37">
        <f>_xlfn.XLOOKUP(UPPER(TRIM(SUBSTITUTE(J37,CHAR(160)," "))),Departments!A:A,Departments!C:C,"")</f>
        <v>3</v>
      </c>
      <c r="O37" t="str">
        <f t="shared" si="4"/>
        <v>Within Target</v>
      </c>
    </row>
    <row r="38" spans="1:15" x14ac:dyDescent="0.2">
      <c r="A38">
        <v>2037</v>
      </c>
      <c r="B38">
        <v>54</v>
      </c>
      <c r="C38" t="s">
        <v>12</v>
      </c>
      <c r="D38" t="s">
        <v>22</v>
      </c>
      <c r="E38" s="2">
        <v>45308</v>
      </c>
      <c r="F38" s="2">
        <v>45310</v>
      </c>
      <c r="G38">
        <v>2</v>
      </c>
      <c r="H38" t="s">
        <v>14</v>
      </c>
      <c r="I38">
        <v>13397</v>
      </c>
      <c r="J38" t="str">
        <f t="shared" si="0"/>
        <v>ONCOLOGY</v>
      </c>
      <c r="K38" t="str">
        <f t="shared" si="1"/>
        <v>NO</v>
      </c>
      <c r="L38">
        <f t="shared" si="2"/>
        <v>2</v>
      </c>
      <c r="M38" t="str">
        <f t="shared" si="3"/>
        <v>Match</v>
      </c>
      <c r="N38">
        <f>_xlfn.XLOOKUP(UPPER(TRIM(SUBSTITUTE(J38,CHAR(160)," "))),Departments!A:A,Departments!C:C,"")</f>
        <v>6</v>
      </c>
      <c r="O38" t="str">
        <f t="shared" si="4"/>
        <v>Within Target</v>
      </c>
    </row>
    <row r="39" spans="1:15" x14ac:dyDescent="0.2">
      <c r="A39">
        <v>2038</v>
      </c>
      <c r="B39">
        <v>40</v>
      </c>
      <c r="C39" t="s">
        <v>12</v>
      </c>
      <c r="D39" t="s">
        <v>24</v>
      </c>
      <c r="E39" s="2">
        <v>45318</v>
      </c>
      <c r="G39">
        <v>6</v>
      </c>
      <c r="H39" t="s">
        <v>14</v>
      </c>
      <c r="I39">
        <v>16838</v>
      </c>
      <c r="J39" t="str">
        <f t="shared" si="0"/>
        <v>ONCOLOGY</v>
      </c>
      <c r="K39" t="str">
        <f t="shared" si="1"/>
        <v>NO</v>
      </c>
      <c r="L39" t="str">
        <f t="shared" si="2"/>
        <v/>
      </c>
      <c r="M39" t="str">
        <f t="shared" si="3"/>
        <v/>
      </c>
      <c r="N39">
        <f>_xlfn.XLOOKUP(UPPER(TRIM(SUBSTITUTE(J39,CHAR(160)," "))),Departments!A:A,Departments!C:C,"")</f>
        <v>6</v>
      </c>
      <c r="O39" t="str">
        <f t="shared" si="4"/>
        <v/>
      </c>
    </row>
    <row r="40" spans="1:15" x14ac:dyDescent="0.2">
      <c r="A40">
        <v>2039</v>
      </c>
      <c r="B40">
        <v>65</v>
      </c>
      <c r="C40" t="s">
        <v>9</v>
      </c>
      <c r="D40" t="s">
        <v>22</v>
      </c>
      <c r="E40" s="2">
        <v>45352</v>
      </c>
      <c r="F40" s="2">
        <v>45357</v>
      </c>
      <c r="G40">
        <v>5</v>
      </c>
      <c r="H40" t="s">
        <v>14</v>
      </c>
      <c r="I40">
        <v>15633</v>
      </c>
      <c r="J40" t="str">
        <f t="shared" si="0"/>
        <v>ONCOLOGY</v>
      </c>
      <c r="K40" t="str">
        <f t="shared" si="1"/>
        <v>NO</v>
      </c>
      <c r="L40">
        <f t="shared" si="2"/>
        <v>5</v>
      </c>
      <c r="M40" t="str">
        <f t="shared" si="3"/>
        <v>Match</v>
      </c>
      <c r="N40">
        <f>_xlfn.XLOOKUP(UPPER(TRIM(SUBSTITUTE(J40,CHAR(160)," "))),Departments!A:A,Departments!C:C,"")</f>
        <v>6</v>
      </c>
      <c r="O40" t="str">
        <f t="shared" si="4"/>
        <v>Within Target</v>
      </c>
    </row>
    <row r="41" spans="1:15" x14ac:dyDescent="0.2">
      <c r="A41">
        <v>2040</v>
      </c>
      <c r="B41">
        <v>51</v>
      </c>
      <c r="C41" t="s">
        <v>12</v>
      </c>
      <c r="D41" t="s">
        <v>25</v>
      </c>
      <c r="E41" s="2">
        <v>45319</v>
      </c>
      <c r="F41" s="2">
        <v>45321</v>
      </c>
      <c r="G41">
        <v>2</v>
      </c>
      <c r="H41" t="s">
        <v>14</v>
      </c>
      <c r="I41">
        <v>6400</v>
      </c>
      <c r="J41" t="str">
        <f t="shared" si="0"/>
        <v>PEDIATRICS</v>
      </c>
      <c r="K41" t="str">
        <f t="shared" si="1"/>
        <v>NO</v>
      </c>
      <c r="L41">
        <f t="shared" si="2"/>
        <v>2</v>
      </c>
      <c r="M41" t="str">
        <f t="shared" si="3"/>
        <v>Match</v>
      </c>
      <c r="N41">
        <f>_xlfn.XLOOKUP(UPPER(TRIM(SUBSTITUTE(J41,CHAR(160)," "))),Departments!A:A,Departments!C:C,"")</f>
        <v>3</v>
      </c>
      <c r="O41" t="str">
        <f t="shared" si="4"/>
        <v>Within Target</v>
      </c>
    </row>
    <row r="42" spans="1:15" x14ac:dyDescent="0.2">
      <c r="A42">
        <v>2041</v>
      </c>
      <c r="B42">
        <v>81</v>
      </c>
      <c r="C42" t="s">
        <v>12</v>
      </c>
      <c r="D42" t="s">
        <v>15</v>
      </c>
      <c r="E42" s="2">
        <v>45312</v>
      </c>
      <c r="F42" s="2">
        <v>45313</v>
      </c>
      <c r="G42">
        <v>1</v>
      </c>
      <c r="H42" t="s">
        <v>11</v>
      </c>
      <c r="I42">
        <v>5162</v>
      </c>
      <c r="J42" t="str">
        <f t="shared" si="0"/>
        <v>ER</v>
      </c>
      <c r="K42" t="str">
        <f t="shared" si="1"/>
        <v>YES</v>
      </c>
      <c r="L42">
        <f t="shared" si="2"/>
        <v>1</v>
      </c>
      <c r="M42" t="str">
        <f t="shared" si="3"/>
        <v>Match</v>
      </c>
      <c r="N42">
        <f>_xlfn.XLOOKUP(UPPER(TRIM(SUBSTITUTE(J42,CHAR(160)," "))),Departments!A:A,Departments!C:C,"")</f>
        <v>2</v>
      </c>
      <c r="O42" t="str">
        <f t="shared" si="4"/>
        <v>Within Target</v>
      </c>
    </row>
    <row r="43" spans="1:15" x14ac:dyDescent="0.2">
      <c r="A43">
        <v>2042</v>
      </c>
      <c r="B43">
        <v>6</v>
      </c>
      <c r="C43" t="s">
        <v>12</v>
      </c>
      <c r="D43" t="s">
        <v>17</v>
      </c>
      <c r="E43" s="2">
        <v>45312</v>
      </c>
      <c r="F43" s="2">
        <v>45318</v>
      </c>
      <c r="G43">
        <v>6</v>
      </c>
      <c r="H43" t="s">
        <v>14</v>
      </c>
      <c r="I43">
        <v>16579</v>
      </c>
      <c r="J43" t="str">
        <f t="shared" si="0"/>
        <v>ORTHOPEDICS</v>
      </c>
      <c r="K43" t="str">
        <f t="shared" si="1"/>
        <v>NO</v>
      </c>
      <c r="L43">
        <f t="shared" si="2"/>
        <v>6</v>
      </c>
      <c r="M43" t="str">
        <f t="shared" si="3"/>
        <v>Match</v>
      </c>
      <c r="N43">
        <f>_xlfn.XLOOKUP(UPPER(TRIM(SUBSTITUTE(J43,CHAR(160)," "))),Departments!A:A,Departments!C:C,"")</f>
        <v>6</v>
      </c>
      <c r="O43" t="str">
        <f t="shared" si="4"/>
        <v>Within Target</v>
      </c>
    </row>
    <row r="44" spans="1:15" x14ac:dyDescent="0.2">
      <c r="A44">
        <v>2043</v>
      </c>
      <c r="B44">
        <v>40</v>
      </c>
      <c r="C44" t="s">
        <v>9</v>
      </c>
      <c r="D44" t="s">
        <v>20</v>
      </c>
      <c r="E44" s="2">
        <v>45315</v>
      </c>
      <c r="F44" s="2">
        <v>45318</v>
      </c>
      <c r="G44">
        <v>3</v>
      </c>
      <c r="H44" t="s">
        <v>14</v>
      </c>
      <c r="I44">
        <v>11885</v>
      </c>
      <c r="J44" t="str">
        <f t="shared" si="0"/>
        <v>NEUROLOGY</v>
      </c>
      <c r="K44" t="str">
        <f t="shared" si="1"/>
        <v>NO</v>
      </c>
      <c r="L44">
        <f t="shared" si="2"/>
        <v>3</v>
      </c>
      <c r="M44" t="str">
        <f t="shared" si="3"/>
        <v>Match</v>
      </c>
      <c r="N44">
        <f>_xlfn.XLOOKUP(UPPER(TRIM(SUBSTITUTE(J44,CHAR(160)," "))),Departments!A:A,Departments!C:C,"")</f>
        <v>7</v>
      </c>
      <c r="O44" t="str">
        <f t="shared" si="4"/>
        <v>Within Target</v>
      </c>
    </row>
    <row r="45" spans="1:15" x14ac:dyDescent="0.2">
      <c r="A45">
        <v>2044</v>
      </c>
      <c r="B45">
        <v>12</v>
      </c>
      <c r="C45" t="s">
        <v>12</v>
      </c>
      <c r="D45" t="s">
        <v>13</v>
      </c>
      <c r="E45" s="2">
        <v>45310</v>
      </c>
      <c r="F45" s="2">
        <v>45318</v>
      </c>
      <c r="G45">
        <v>8</v>
      </c>
      <c r="H45" t="s">
        <v>14</v>
      </c>
      <c r="I45">
        <v>21894</v>
      </c>
      <c r="J45" t="str">
        <f t="shared" si="0"/>
        <v>CARDIOLOGY</v>
      </c>
      <c r="K45" t="str">
        <f t="shared" si="1"/>
        <v>NO</v>
      </c>
      <c r="L45">
        <f t="shared" si="2"/>
        <v>8</v>
      </c>
      <c r="M45" t="str">
        <f t="shared" si="3"/>
        <v>Match</v>
      </c>
      <c r="N45">
        <f>_xlfn.XLOOKUP(UPPER(TRIM(SUBSTITUTE(J45,CHAR(160)," "))),Departments!A:A,Departments!C:C,"")</f>
        <v>5</v>
      </c>
      <c r="O45" t="str">
        <f t="shared" si="4"/>
        <v>Above Target</v>
      </c>
    </row>
    <row r="46" spans="1:15" x14ac:dyDescent="0.2">
      <c r="A46">
        <v>2045</v>
      </c>
      <c r="B46">
        <v>20</v>
      </c>
      <c r="C46" t="s">
        <v>12</v>
      </c>
      <c r="D46" t="s">
        <v>20</v>
      </c>
      <c r="E46" s="2">
        <v>45355</v>
      </c>
      <c r="F46" s="2">
        <v>45360</v>
      </c>
      <c r="G46">
        <v>5</v>
      </c>
      <c r="H46" t="s">
        <v>14</v>
      </c>
      <c r="I46">
        <v>19852</v>
      </c>
      <c r="J46" t="str">
        <f t="shared" si="0"/>
        <v>NEUROLOGY</v>
      </c>
      <c r="K46" t="str">
        <f t="shared" si="1"/>
        <v>NO</v>
      </c>
      <c r="L46">
        <f t="shared" si="2"/>
        <v>5</v>
      </c>
      <c r="M46" t="str">
        <f t="shared" si="3"/>
        <v>Match</v>
      </c>
      <c r="N46">
        <f>_xlfn.XLOOKUP(UPPER(TRIM(SUBSTITUTE(J46,CHAR(160)," "))),Departments!A:A,Departments!C:C,"")</f>
        <v>7</v>
      </c>
      <c r="O46" t="str">
        <f t="shared" si="4"/>
        <v>Within Target</v>
      </c>
    </row>
    <row r="47" spans="1:15" x14ac:dyDescent="0.2">
      <c r="A47">
        <v>2046</v>
      </c>
      <c r="B47">
        <v>55</v>
      </c>
      <c r="C47" t="s">
        <v>9</v>
      </c>
      <c r="D47" t="s">
        <v>22</v>
      </c>
      <c r="E47" s="2">
        <v>45356</v>
      </c>
      <c r="F47" s="2">
        <v>45367</v>
      </c>
      <c r="G47">
        <v>11</v>
      </c>
      <c r="H47" t="s">
        <v>14</v>
      </c>
      <c r="I47">
        <v>20644</v>
      </c>
      <c r="J47" t="str">
        <f t="shared" si="0"/>
        <v>ONCOLOGY</v>
      </c>
      <c r="K47" t="str">
        <f t="shared" si="1"/>
        <v>NO</v>
      </c>
      <c r="L47">
        <f t="shared" si="2"/>
        <v>11</v>
      </c>
      <c r="M47" t="str">
        <f t="shared" si="3"/>
        <v>Match</v>
      </c>
      <c r="N47">
        <f>_xlfn.XLOOKUP(UPPER(TRIM(SUBSTITUTE(J47,CHAR(160)," "))),Departments!A:A,Departments!C:C,"")</f>
        <v>6</v>
      </c>
      <c r="O47" t="str">
        <f t="shared" si="4"/>
        <v>Above Target</v>
      </c>
    </row>
    <row r="48" spans="1:15" x14ac:dyDescent="0.2">
      <c r="A48">
        <v>2047</v>
      </c>
      <c r="B48">
        <v>83</v>
      </c>
      <c r="C48" t="s">
        <v>9</v>
      </c>
      <c r="D48" t="s">
        <v>13</v>
      </c>
      <c r="E48" s="2">
        <v>45295</v>
      </c>
      <c r="F48" s="2">
        <v>45297</v>
      </c>
      <c r="G48">
        <v>2</v>
      </c>
      <c r="H48" t="s">
        <v>11</v>
      </c>
      <c r="I48">
        <v>13441</v>
      </c>
      <c r="J48" t="str">
        <f t="shared" si="0"/>
        <v>CARDIOLOGY</v>
      </c>
      <c r="K48" t="str">
        <f t="shared" si="1"/>
        <v>YES</v>
      </c>
      <c r="L48">
        <f t="shared" si="2"/>
        <v>2</v>
      </c>
      <c r="M48" t="str">
        <f t="shared" si="3"/>
        <v>Match</v>
      </c>
      <c r="N48">
        <f>_xlfn.XLOOKUP(UPPER(TRIM(SUBSTITUTE(J48,CHAR(160)," "))),Departments!A:A,Departments!C:C,"")</f>
        <v>5</v>
      </c>
      <c r="O48" t="str">
        <f t="shared" si="4"/>
        <v>Within Target</v>
      </c>
    </row>
    <row r="49" spans="1:15" x14ac:dyDescent="0.2">
      <c r="A49">
        <v>2048</v>
      </c>
      <c r="B49">
        <v>81</v>
      </c>
      <c r="C49" t="s">
        <v>9</v>
      </c>
      <c r="D49" t="s">
        <v>15</v>
      </c>
      <c r="E49" s="2">
        <v>45325</v>
      </c>
      <c r="F49" s="2">
        <v>45326</v>
      </c>
      <c r="G49">
        <v>1</v>
      </c>
      <c r="H49" t="s">
        <v>14</v>
      </c>
      <c r="I49">
        <v>4275</v>
      </c>
      <c r="J49" t="str">
        <f t="shared" si="0"/>
        <v>ER</v>
      </c>
      <c r="K49" t="str">
        <f t="shared" si="1"/>
        <v>NO</v>
      </c>
      <c r="L49">
        <f t="shared" si="2"/>
        <v>1</v>
      </c>
      <c r="M49" t="str">
        <f t="shared" si="3"/>
        <v>Match</v>
      </c>
      <c r="N49">
        <f>_xlfn.XLOOKUP(UPPER(TRIM(SUBSTITUTE(J49,CHAR(160)," "))),Departments!A:A,Departments!C:C,"")</f>
        <v>2</v>
      </c>
      <c r="O49" t="str">
        <f t="shared" si="4"/>
        <v>Within Target</v>
      </c>
    </row>
    <row r="50" spans="1:15" x14ac:dyDescent="0.2">
      <c r="A50">
        <v>2049</v>
      </c>
      <c r="B50">
        <v>61</v>
      </c>
      <c r="C50" t="s">
        <v>12</v>
      </c>
      <c r="D50" t="s">
        <v>13</v>
      </c>
      <c r="E50" s="2">
        <v>45325</v>
      </c>
      <c r="F50" s="2">
        <v>45330</v>
      </c>
      <c r="G50">
        <v>5</v>
      </c>
      <c r="H50" t="s">
        <v>14</v>
      </c>
      <c r="I50">
        <v>15272</v>
      </c>
      <c r="J50" t="str">
        <f t="shared" si="0"/>
        <v>CARDIOLOGY</v>
      </c>
      <c r="K50" t="str">
        <f t="shared" si="1"/>
        <v>NO</v>
      </c>
      <c r="L50">
        <f t="shared" si="2"/>
        <v>5</v>
      </c>
      <c r="M50" t="str">
        <f t="shared" si="3"/>
        <v>Match</v>
      </c>
      <c r="N50">
        <f>_xlfn.XLOOKUP(UPPER(TRIM(SUBSTITUTE(J50,CHAR(160)," "))),Departments!A:A,Departments!C:C,"")</f>
        <v>5</v>
      </c>
      <c r="O50" t="str">
        <f t="shared" si="4"/>
        <v>Within Target</v>
      </c>
    </row>
    <row r="51" spans="1:15" x14ac:dyDescent="0.2">
      <c r="A51">
        <v>2050</v>
      </c>
      <c r="B51">
        <v>62</v>
      </c>
      <c r="C51" t="s">
        <v>12</v>
      </c>
      <c r="D51" t="s">
        <v>13</v>
      </c>
      <c r="E51" s="2">
        <v>45370</v>
      </c>
      <c r="F51" s="2">
        <v>45375</v>
      </c>
      <c r="G51">
        <v>5</v>
      </c>
      <c r="H51" t="s">
        <v>11</v>
      </c>
      <c r="I51">
        <v>14884</v>
      </c>
      <c r="J51" t="str">
        <f t="shared" si="0"/>
        <v>CARDIOLOGY</v>
      </c>
      <c r="K51" t="str">
        <f t="shared" si="1"/>
        <v>YES</v>
      </c>
      <c r="L51">
        <f t="shared" si="2"/>
        <v>5</v>
      </c>
      <c r="M51" t="str">
        <f t="shared" si="3"/>
        <v>Match</v>
      </c>
      <c r="N51">
        <f>_xlfn.XLOOKUP(UPPER(TRIM(SUBSTITUTE(J51,CHAR(160)," "))),Departments!A:A,Departments!C:C,"")</f>
        <v>5</v>
      </c>
      <c r="O51" t="str">
        <f t="shared" si="4"/>
        <v>Within Target</v>
      </c>
    </row>
    <row r="52" spans="1:15" x14ac:dyDescent="0.2">
      <c r="A52">
        <v>2051</v>
      </c>
      <c r="B52">
        <v>2</v>
      </c>
      <c r="C52" t="s">
        <v>12</v>
      </c>
      <c r="D52" t="s">
        <v>13</v>
      </c>
      <c r="E52" s="2">
        <v>45354</v>
      </c>
      <c r="F52" s="2">
        <v>45360</v>
      </c>
      <c r="G52">
        <v>6</v>
      </c>
      <c r="H52" t="s">
        <v>14</v>
      </c>
      <c r="I52">
        <v>16235</v>
      </c>
      <c r="J52" t="str">
        <f t="shared" si="0"/>
        <v>CARDIOLOGY</v>
      </c>
      <c r="K52" t="str">
        <f t="shared" si="1"/>
        <v>NO</v>
      </c>
      <c r="L52">
        <f t="shared" si="2"/>
        <v>6</v>
      </c>
      <c r="M52" t="str">
        <f t="shared" si="3"/>
        <v>Match</v>
      </c>
      <c r="N52">
        <f>_xlfn.XLOOKUP(UPPER(TRIM(SUBSTITUTE(J52,CHAR(160)," "))),Departments!A:A,Departments!C:C,"")</f>
        <v>5</v>
      </c>
      <c r="O52" t="str">
        <f t="shared" si="4"/>
        <v>Above Target</v>
      </c>
    </row>
    <row r="53" spans="1:15" x14ac:dyDescent="0.2">
      <c r="A53">
        <v>2052</v>
      </c>
      <c r="B53">
        <v>60</v>
      </c>
      <c r="C53" t="s">
        <v>12</v>
      </c>
      <c r="D53" t="s">
        <v>13</v>
      </c>
      <c r="E53" s="2">
        <v>45362</v>
      </c>
      <c r="F53" s="2">
        <v>45367</v>
      </c>
      <c r="G53">
        <v>5</v>
      </c>
      <c r="H53" t="s">
        <v>14</v>
      </c>
      <c r="I53">
        <v>15492</v>
      </c>
      <c r="J53" t="str">
        <f t="shared" si="0"/>
        <v>CARDIOLOGY</v>
      </c>
      <c r="K53" t="str">
        <f t="shared" si="1"/>
        <v>NO</v>
      </c>
      <c r="L53">
        <f t="shared" si="2"/>
        <v>5</v>
      </c>
      <c r="M53" t="str">
        <f t="shared" si="3"/>
        <v>Match</v>
      </c>
      <c r="N53">
        <f>_xlfn.XLOOKUP(UPPER(TRIM(SUBSTITUTE(J53,CHAR(160)," "))),Departments!A:A,Departments!C:C,"")</f>
        <v>5</v>
      </c>
      <c r="O53" t="str">
        <f t="shared" si="4"/>
        <v>Within Target</v>
      </c>
    </row>
    <row r="54" spans="1:15" x14ac:dyDescent="0.2">
      <c r="A54">
        <v>2053</v>
      </c>
      <c r="B54">
        <v>58</v>
      </c>
      <c r="C54" t="s">
        <v>12</v>
      </c>
      <c r="D54" t="s">
        <v>15</v>
      </c>
      <c r="E54" s="2">
        <v>45318</v>
      </c>
      <c r="F54" s="2">
        <v>45319</v>
      </c>
      <c r="G54">
        <v>1</v>
      </c>
      <c r="H54" t="s">
        <v>11</v>
      </c>
      <c r="I54">
        <v>3074</v>
      </c>
      <c r="J54" t="str">
        <f t="shared" si="0"/>
        <v>ER</v>
      </c>
      <c r="K54" t="str">
        <f t="shared" si="1"/>
        <v>YES</v>
      </c>
      <c r="L54">
        <f t="shared" si="2"/>
        <v>1</v>
      </c>
      <c r="M54" t="str">
        <f t="shared" si="3"/>
        <v>Match</v>
      </c>
      <c r="N54">
        <f>_xlfn.XLOOKUP(UPPER(TRIM(SUBSTITUTE(J54,CHAR(160)," "))),Departments!A:A,Departments!C:C,"")</f>
        <v>2</v>
      </c>
      <c r="O54" t="str">
        <f t="shared" si="4"/>
        <v>Within Target</v>
      </c>
    </row>
    <row r="55" spans="1:15" x14ac:dyDescent="0.2">
      <c r="A55">
        <v>2054</v>
      </c>
      <c r="B55">
        <v>81</v>
      </c>
      <c r="C55" t="s">
        <v>12</v>
      </c>
      <c r="D55" t="s">
        <v>13</v>
      </c>
      <c r="E55" s="2">
        <v>45338</v>
      </c>
      <c r="G55">
        <v>5</v>
      </c>
      <c r="H55" t="s">
        <v>14</v>
      </c>
      <c r="J55" t="str">
        <f t="shared" si="0"/>
        <v>CARDIOLOGY</v>
      </c>
      <c r="K55" t="str">
        <f t="shared" si="1"/>
        <v>NO</v>
      </c>
      <c r="L55" t="str">
        <f t="shared" si="2"/>
        <v/>
      </c>
      <c r="M55" t="str">
        <f t="shared" si="3"/>
        <v/>
      </c>
      <c r="N55">
        <f>_xlfn.XLOOKUP(UPPER(TRIM(SUBSTITUTE(J55,CHAR(160)," "))),Departments!A:A,Departments!C:C,"")</f>
        <v>5</v>
      </c>
      <c r="O55" t="str">
        <f t="shared" si="4"/>
        <v/>
      </c>
    </row>
    <row r="56" spans="1:15" x14ac:dyDescent="0.2">
      <c r="A56">
        <v>2055</v>
      </c>
      <c r="B56">
        <v>39</v>
      </c>
      <c r="C56" t="s">
        <v>9</v>
      </c>
      <c r="D56" t="s">
        <v>15</v>
      </c>
      <c r="E56" s="2">
        <v>45336</v>
      </c>
      <c r="F56" s="2">
        <v>45338</v>
      </c>
      <c r="G56">
        <v>2</v>
      </c>
      <c r="H56" t="s">
        <v>14</v>
      </c>
      <c r="I56">
        <v>4859</v>
      </c>
      <c r="J56" t="str">
        <f t="shared" si="0"/>
        <v>ER</v>
      </c>
      <c r="K56" t="str">
        <f t="shared" si="1"/>
        <v>NO</v>
      </c>
      <c r="L56">
        <f t="shared" si="2"/>
        <v>2</v>
      </c>
      <c r="M56" t="str">
        <f t="shared" si="3"/>
        <v>Match</v>
      </c>
      <c r="N56">
        <f>_xlfn.XLOOKUP(UPPER(TRIM(SUBSTITUTE(J56,CHAR(160)," "))),Departments!A:A,Departments!C:C,"")</f>
        <v>2</v>
      </c>
      <c r="O56" t="str">
        <f t="shared" si="4"/>
        <v>Within Target</v>
      </c>
    </row>
    <row r="57" spans="1:15" x14ac:dyDescent="0.2">
      <c r="A57">
        <v>2056</v>
      </c>
      <c r="B57">
        <v>26</v>
      </c>
      <c r="C57" t="s">
        <v>9</v>
      </c>
      <c r="D57" t="s">
        <v>16</v>
      </c>
      <c r="E57" s="2">
        <v>45329</v>
      </c>
      <c r="F57" s="2">
        <v>45332</v>
      </c>
      <c r="G57">
        <v>3</v>
      </c>
      <c r="H57" t="s">
        <v>14</v>
      </c>
      <c r="I57">
        <v>9111</v>
      </c>
      <c r="J57" t="str">
        <f t="shared" si="0"/>
        <v>PEDIATRICS</v>
      </c>
      <c r="K57" t="str">
        <f t="shared" si="1"/>
        <v>NO</v>
      </c>
      <c r="L57">
        <f t="shared" si="2"/>
        <v>3</v>
      </c>
      <c r="M57" t="str">
        <f t="shared" si="3"/>
        <v>Match</v>
      </c>
      <c r="N57">
        <f>_xlfn.XLOOKUP(UPPER(TRIM(SUBSTITUTE(J57,CHAR(160)," "))),Departments!A:A,Departments!C:C,"")</f>
        <v>3</v>
      </c>
      <c r="O57" t="str">
        <f t="shared" si="4"/>
        <v>Within Target</v>
      </c>
    </row>
    <row r="58" spans="1:15" x14ac:dyDescent="0.2">
      <c r="A58">
        <v>2057</v>
      </c>
      <c r="B58">
        <v>36</v>
      </c>
      <c r="C58" t="s">
        <v>9</v>
      </c>
      <c r="D58" t="s">
        <v>20</v>
      </c>
      <c r="E58" s="2">
        <v>45305</v>
      </c>
      <c r="F58" s="2">
        <v>45308</v>
      </c>
      <c r="G58">
        <v>3</v>
      </c>
      <c r="H58" t="s">
        <v>14</v>
      </c>
      <c r="I58">
        <v>13452</v>
      </c>
      <c r="J58" t="str">
        <f t="shared" si="0"/>
        <v>NEUROLOGY</v>
      </c>
      <c r="K58" t="str">
        <f t="shared" si="1"/>
        <v>NO</v>
      </c>
      <c r="L58">
        <f t="shared" si="2"/>
        <v>3</v>
      </c>
      <c r="M58" t="str">
        <f t="shared" si="3"/>
        <v>Match</v>
      </c>
      <c r="N58">
        <f>_xlfn.XLOOKUP(UPPER(TRIM(SUBSTITUTE(J58,CHAR(160)," "))),Departments!A:A,Departments!C:C,"")</f>
        <v>7</v>
      </c>
      <c r="O58" t="str">
        <f t="shared" si="4"/>
        <v>Within Target</v>
      </c>
    </row>
    <row r="59" spans="1:15" x14ac:dyDescent="0.2">
      <c r="A59">
        <v>2058</v>
      </c>
      <c r="B59">
        <v>25</v>
      </c>
      <c r="C59" t="s">
        <v>12</v>
      </c>
      <c r="D59" t="s">
        <v>15</v>
      </c>
      <c r="E59" s="2">
        <v>45295</v>
      </c>
      <c r="F59" s="2">
        <v>45298</v>
      </c>
      <c r="G59">
        <v>3</v>
      </c>
      <c r="H59" t="s">
        <v>14</v>
      </c>
      <c r="I59">
        <v>8926</v>
      </c>
      <c r="J59" t="str">
        <f t="shared" si="0"/>
        <v>ER</v>
      </c>
      <c r="K59" t="str">
        <f t="shared" si="1"/>
        <v>NO</v>
      </c>
      <c r="L59">
        <f t="shared" si="2"/>
        <v>3</v>
      </c>
      <c r="M59" t="str">
        <f t="shared" si="3"/>
        <v>Match</v>
      </c>
      <c r="N59">
        <f>_xlfn.XLOOKUP(UPPER(TRIM(SUBSTITUTE(J59,CHAR(160)," "))),Departments!A:A,Departments!C:C,"")</f>
        <v>2</v>
      </c>
      <c r="O59" t="str">
        <f t="shared" si="4"/>
        <v>Above Target</v>
      </c>
    </row>
    <row r="60" spans="1:15" x14ac:dyDescent="0.2">
      <c r="A60">
        <v>2059</v>
      </c>
      <c r="B60">
        <v>79</v>
      </c>
      <c r="C60" t="s">
        <v>9</v>
      </c>
      <c r="D60" t="s">
        <v>16</v>
      </c>
      <c r="E60" s="2">
        <v>45328</v>
      </c>
      <c r="F60" s="2">
        <v>45332</v>
      </c>
      <c r="G60">
        <v>4</v>
      </c>
      <c r="H60" t="s">
        <v>11</v>
      </c>
      <c r="I60">
        <v>11564</v>
      </c>
      <c r="J60" t="str">
        <f t="shared" si="0"/>
        <v>PEDIATRICS</v>
      </c>
      <c r="K60" t="str">
        <f t="shared" si="1"/>
        <v>YES</v>
      </c>
      <c r="L60">
        <f t="shared" si="2"/>
        <v>4</v>
      </c>
      <c r="M60" t="str">
        <f t="shared" si="3"/>
        <v>Match</v>
      </c>
      <c r="N60">
        <f>_xlfn.XLOOKUP(UPPER(TRIM(SUBSTITUTE(J60,CHAR(160)," "))),Departments!A:A,Departments!C:C,"")</f>
        <v>3</v>
      </c>
      <c r="O60" t="str">
        <f t="shared" si="4"/>
        <v>Above Target</v>
      </c>
    </row>
    <row r="61" spans="1:15" x14ac:dyDescent="0.2">
      <c r="A61">
        <v>2060</v>
      </c>
      <c r="B61">
        <v>84</v>
      </c>
      <c r="C61" t="s">
        <v>12</v>
      </c>
      <c r="D61" t="s">
        <v>15</v>
      </c>
      <c r="E61" s="2">
        <v>45375</v>
      </c>
      <c r="F61" s="2">
        <v>45376</v>
      </c>
      <c r="G61">
        <v>1</v>
      </c>
      <c r="H61" t="s">
        <v>14</v>
      </c>
      <c r="I61">
        <v>5110</v>
      </c>
      <c r="J61" t="str">
        <f t="shared" si="0"/>
        <v>ER</v>
      </c>
      <c r="K61" t="str">
        <f t="shared" si="1"/>
        <v>NO</v>
      </c>
      <c r="L61">
        <f t="shared" si="2"/>
        <v>1</v>
      </c>
      <c r="M61" t="str">
        <f t="shared" si="3"/>
        <v>Match</v>
      </c>
      <c r="N61">
        <f>_xlfn.XLOOKUP(UPPER(TRIM(SUBSTITUTE(J61,CHAR(160)," "))),Departments!A:A,Departments!C:C,"")</f>
        <v>2</v>
      </c>
      <c r="O61" t="str">
        <f t="shared" si="4"/>
        <v>Within Target</v>
      </c>
    </row>
    <row r="62" spans="1:15" x14ac:dyDescent="0.2">
      <c r="A62">
        <v>2061</v>
      </c>
      <c r="B62">
        <v>64</v>
      </c>
      <c r="C62" t="s">
        <v>9</v>
      </c>
      <c r="D62" t="s">
        <v>15</v>
      </c>
      <c r="E62" s="2">
        <v>45334</v>
      </c>
      <c r="F62" s="2">
        <v>45336</v>
      </c>
      <c r="G62">
        <v>2</v>
      </c>
      <c r="H62" t="s">
        <v>14</v>
      </c>
      <c r="I62">
        <v>6136</v>
      </c>
      <c r="J62" t="str">
        <f t="shared" si="0"/>
        <v>ER</v>
      </c>
      <c r="K62" t="str">
        <f t="shared" si="1"/>
        <v>NO</v>
      </c>
      <c r="L62">
        <f t="shared" si="2"/>
        <v>2</v>
      </c>
      <c r="M62" t="str">
        <f t="shared" si="3"/>
        <v>Match</v>
      </c>
      <c r="N62">
        <f>_xlfn.XLOOKUP(UPPER(TRIM(SUBSTITUTE(J62,CHAR(160)," "))),Departments!A:A,Departments!C:C,"")</f>
        <v>2</v>
      </c>
      <c r="O62" t="str">
        <f t="shared" si="4"/>
        <v>Within Target</v>
      </c>
    </row>
    <row r="63" spans="1:15" x14ac:dyDescent="0.2">
      <c r="A63">
        <v>2062</v>
      </c>
      <c r="B63">
        <v>48</v>
      </c>
      <c r="C63" t="s">
        <v>12</v>
      </c>
      <c r="D63" t="s">
        <v>22</v>
      </c>
      <c r="E63" s="2">
        <v>45317</v>
      </c>
      <c r="F63" s="2">
        <v>45319</v>
      </c>
      <c r="G63">
        <v>2</v>
      </c>
      <c r="H63" t="s">
        <v>14</v>
      </c>
      <c r="I63">
        <v>12974</v>
      </c>
      <c r="J63" t="str">
        <f t="shared" si="0"/>
        <v>ONCOLOGY</v>
      </c>
      <c r="K63" t="str">
        <f t="shared" si="1"/>
        <v>NO</v>
      </c>
      <c r="L63">
        <f t="shared" si="2"/>
        <v>2</v>
      </c>
      <c r="M63" t="str">
        <f t="shared" si="3"/>
        <v>Match</v>
      </c>
      <c r="N63">
        <f>_xlfn.XLOOKUP(UPPER(TRIM(SUBSTITUTE(J63,CHAR(160)," "))),Departments!A:A,Departments!C:C,"")</f>
        <v>6</v>
      </c>
      <c r="O63" t="str">
        <f t="shared" si="4"/>
        <v>Within Target</v>
      </c>
    </row>
    <row r="64" spans="1:15" x14ac:dyDescent="0.2">
      <c r="A64">
        <v>2063</v>
      </c>
      <c r="B64">
        <v>8</v>
      </c>
      <c r="C64" t="s">
        <v>12</v>
      </c>
      <c r="D64" t="s">
        <v>20</v>
      </c>
      <c r="E64" s="2">
        <v>45365</v>
      </c>
      <c r="F64" s="2">
        <v>45373</v>
      </c>
      <c r="G64">
        <v>8</v>
      </c>
      <c r="H64" t="s">
        <v>11</v>
      </c>
      <c r="I64">
        <v>24223</v>
      </c>
      <c r="J64" t="str">
        <f t="shared" si="0"/>
        <v>NEUROLOGY</v>
      </c>
      <c r="K64" t="str">
        <f t="shared" si="1"/>
        <v>YES</v>
      </c>
      <c r="L64">
        <f t="shared" si="2"/>
        <v>8</v>
      </c>
      <c r="M64" t="str">
        <f t="shared" si="3"/>
        <v>Match</v>
      </c>
      <c r="N64">
        <f>_xlfn.XLOOKUP(UPPER(TRIM(SUBSTITUTE(J64,CHAR(160)," "))),Departments!A:A,Departments!C:C,"")</f>
        <v>7</v>
      </c>
      <c r="O64" t="str">
        <f t="shared" si="4"/>
        <v>Above Target</v>
      </c>
    </row>
    <row r="65" spans="1:15" x14ac:dyDescent="0.2">
      <c r="A65">
        <v>2064</v>
      </c>
      <c r="B65">
        <v>32</v>
      </c>
      <c r="C65" t="s">
        <v>12</v>
      </c>
      <c r="D65" t="s">
        <v>15</v>
      </c>
      <c r="E65" s="2">
        <v>45374</v>
      </c>
      <c r="F65" s="2">
        <v>45376</v>
      </c>
      <c r="G65">
        <v>2</v>
      </c>
      <c r="H65" t="s">
        <v>14</v>
      </c>
      <c r="I65">
        <v>6516</v>
      </c>
      <c r="J65" t="str">
        <f t="shared" si="0"/>
        <v>ER</v>
      </c>
      <c r="K65" t="str">
        <f t="shared" si="1"/>
        <v>NO</v>
      </c>
      <c r="L65">
        <f t="shared" si="2"/>
        <v>2</v>
      </c>
      <c r="M65" t="str">
        <f t="shared" si="3"/>
        <v>Match</v>
      </c>
      <c r="N65">
        <f>_xlfn.XLOOKUP(UPPER(TRIM(SUBSTITUTE(J65,CHAR(160)," "))),Departments!A:A,Departments!C:C,"")</f>
        <v>2</v>
      </c>
      <c r="O65" t="str">
        <f t="shared" si="4"/>
        <v>Within Target</v>
      </c>
    </row>
    <row r="66" spans="1:15" x14ac:dyDescent="0.2">
      <c r="A66">
        <v>2065</v>
      </c>
      <c r="B66">
        <v>61</v>
      </c>
      <c r="C66" t="s">
        <v>12</v>
      </c>
      <c r="D66" t="s">
        <v>13</v>
      </c>
      <c r="E66" s="2">
        <v>45301</v>
      </c>
      <c r="F66" s="2">
        <v>45309</v>
      </c>
      <c r="G66">
        <v>8</v>
      </c>
      <c r="H66" t="s">
        <v>14</v>
      </c>
      <c r="I66">
        <v>25799</v>
      </c>
      <c r="J66" t="str">
        <f t="shared" ref="J66:J129" si="5">UPPER((SUBSTITUTE(D66,CHAR(160)," ")))</f>
        <v>CARDIOLOGY</v>
      </c>
      <c r="K66" t="str">
        <f t="shared" ref="K66:K129" si="6">UPPER(TRIM(H66))</f>
        <v>NO</v>
      </c>
      <c r="L66">
        <f t="shared" si="2"/>
        <v>8</v>
      </c>
      <c r="M66" t="str">
        <f t="shared" si="3"/>
        <v>Match</v>
      </c>
      <c r="N66">
        <f>_xlfn.XLOOKUP(UPPER(TRIM(SUBSTITUTE(J66,CHAR(160)," "))),Departments!A:A,Departments!C:C,"")</f>
        <v>5</v>
      </c>
      <c r="O66" t="str">
        <f t="shared" si="4"/>
        <v>Above Target</v>
      </c>
    </row>
    <row r="67" spans="1:15" x14ac:dyDescent="0.2">
      <c r="A67">
        <v>2066</v>
      </c>
      <c r="B67">
        <v>20</v>
      </c>
      <c r="C67" t="s">
        <v>9</v>
      </c>
      <c r="D67" t="s">
        <v>16</v>
      </c>
      <c r="E67" s="2">
        <v>45381</v>
      </c>
      <c r="F67" s="2">
        <v>45385</v>
      </c>
      <c r="G67">
        <v>4</v>
      </c>
      <c r="H67" t="s">
        <v>11</v>
      </c>
      <c r="I67">
        <v>7122</v>
      </c>
      <c r="J67" t="str">
        <f t="shared" si="5"/>
        <v>PEDIATRICS</v>
      </c>
      <c r="K67" t="str">
        <f t="shared" si="6"/>
        <v>YES</v>
      </c>
      <c r="L67">
        <f t="shared" ref="L67:L130" si="7">IF(OR(E67="",F67=""),"",F67-E67)</f>
        <v>4</v>
      </c>
      <c r="M67" t="str">
        <f t="shared" ref="M67:M130" si="8">IF(OR(G67="",L67=""),"",IF(G67=L67,"Match","Mismatch"))</f>
        <v>Match</v>
      </c>
      <c r="N67">
        <f>_xlfn.XLOOKUP(UPPER(TRIM(SUBSTITUTE(J67,CHAR(160)," "))),Departments!A:A,Departments!C:C,"")</f>
        <v>3</v>
      </c>
      <c r="O67" t="str">
        <f t="shared" ref="O67:O130" si="9">IF(OR(L67="",N67=""),"",IF(L67&gt;N67,"Above Target","Within Target"))</f>
        <v>Above Target</v>
      </c>
    </row>
    <row r="68" spans="1:15" x14ac:dyDescent="0.2">
      <c r="A68">
        <v>2067</v>
      </c>
      <c r="B68">
        <v>39</v>
      </c>
      <c r="C68" t="s">
        <v>9</v>
      </c>
      <c r="D68" t="s">
        <v>16</v>
      </c>
      <c r="E68" s="2">
        <v>45324</v>
      </c>
      <c r="F68" s="2">
        <v>45329</v>
      </c>
      <c r="G68">
        <v>5</v>
      </c>
      <c r="H68" t="s">
        <v>14</v>
      </c>
      <c r="I68">
        <v>9048</v>
      </c>
      <c r="J68" t="str">
        <f t="shared" si="5"/>
        <v>PEDIATRICS</v>
      </c>
      <c r="K68" t="str">
        <f t="shared" si="6"/>
        <v>NO</v>
      </c>
      <c r="L68">
        <f t="shared" si="7"/>
        <v>5</v>
      </c>
      <c r="M68" t="str">
        <f t="shared" si="8"/>
        <v>Match</v>
      </c>
      <c r="N68">
        <f>_xlfn.XLOOKUP(UPPER(TRIM(SUBSTITUTE(J68,CHAR(160)," "))),Departments!A:A,Departments!C:C,"")</f>
        <v>3</v>
      </c>
      <c r="O68" t="str">
        <f t="shared" si="9"/>
        <v>Above Target</v>
      </c>
    </row>
    <row r="69" spans="1:15" x14ac:dyDescent="0.2">
      <c r="A69">
        <v>2068</v>
      </c>
      <c r="B69">
        <v>29</v>
      </c>
      <c r="C69" t="s">
        <v>9</v>
      </c>
      <c r="D69" t="s">
        <v>13</v>
      </c>
      <c r="E69" s="2">
        <v>45360</v>
      </c>
      <c r="F69" s="2">
        <v>45366</v>
      </c>
      <c r="G69">
        <v>6</v>
      </c>
      <c r="H69" t="s">
        <v>14</v>
      </c>
      <c r="I69">
        <v>18983</v>
      </c>
      <c r="J69" t="str">
        <f t="shared" si="5"/>
        <v>CARDIOLOGY</v>
      </c>
      <c r="K69" t="str">
        <f t="shared" si="6"/>
        <v>NO</v>
      </c>
      <c r="L69">
        <f t="shared" si="7"/>
        <v>6</v>
      </c>
      <c r="M69" t="str">
        <f t="shared" si="8"/>
        <v>Match</v>
      </c>
      <c r="N69">
        <f>_xlfn.XLOOKUP(UPPER(TRIM(SUBSTITUTE(J69,CHAR(160)," "))),Departments!A:A,Departments!C:C,"")</f>
        <v>5</v>
      </c>
      <c r="O69" t="str">
        <f t="shared" si="9"/>
        <v>Above Target</v>
      </c>
    </row>
    <row r="70" spans="1:15" x14ac:dyDescent="0.2">
      <c r="A70">
        <v>2069</v>
      </c>
      <c r="B70">
        <v>71</v>
      </c>
      <c r="C70" t="s">
        <v>9</v>
      </c>
      <c r="D70" t="s">
        <v>13</v>
      </c>
      <c r="E70" s="2">
        <v>45344</v>
      </c>
      <c r="F70" s="2">
        <v>45350</v>
      </c>
      <c r="G70">
        <v>6</v>
      </c>
      <c r="H70" t="s">
        <v>11</v>
      </c>
      <c r="I70">
        <v>17002</v>
      </c>
      <c r="J70" t="str">
        <f t="shared" si="5"/>
        <v>CARDIOLOGY</v>
      </c>
      <c r="K70" t="str">
        <f t="shared" si="6"/>
        <v>YES</v>
      </c>
      <c r="L70">
        <f t="shared" si="7"/>
        <v>6</v>
      </c>
      <c r="M70" t="str">
        <f t="shared" si="8"/>
        <v>Match</v>
      </c>
      <c r="N70">
        <f>_xlfn.XLOOKUP(UPPER(TRIM(SUBSTITUTE(J70,CHAR(160)," "))),Departments!A:A,Departments!C:C,"")</f>
        <v>5</v>
      </c>
      <c r="O70" t="str">
        <f t="shared" si="9"/>
        <v>Above Target</v>
      </c>
    </row>
    <row r="71" spans="1:15" x14ac:dyDescent="0.2">
      <c r="A71">
        <v>2070</v>
      </c>
      <c r="B71">
        <v>55</v>
      </c>
      <c r="C71" t="s">
        <v>12</v>
      </c>
      <c r="D71" t="s">
        <v>17</v>
      </c>
      <c r="E71" s="2">
        <v>45355</v>
      </c>
      <c r="F71" s="2">
        <v>45357</v>
      </c>
      <c r="G71">
        <v>2</v>
      </c>
      <c r="H71" t="s">
        <v>14</v>
      </c>
      <c r="I71">
        <v>11464</v>
      </c>
      <c r="J71" t="str">
        <f t="shared" si="5"/>
        <v>ORTHOPEDICS</v>
      </c>
      <c r="K71" t="str">
        <f t="shared" si="6"/>
        <v>NO</v>
      </c>
      <c r="L71">
        <f t="shared" si="7"/>
        <v>2</v>
      </c>
      <c r="M71" t="str">
        <f t="shared" si="8"/>
        <v>Match</v>
      </c>
      <c r="N71">
        <f>_xlfn.XLOOKUP(UPPER(TRIM(SUBSTITUTE(J71,CHAR(160)," "))),Departments!A:A,Departments!C:C,"")</f>
        <v>6</v>
      </c>
      <c r="O71" t="str">
        <f t="shared" si="9"/>
        <v>Within Target</v>
      </c>
    </row>
    <row r="72" spans="1:15" x14ac:dyDescent="0.2">
      <c r="A72">
        <v>2071</v>
      </c>
      <c r="B72">
        <v>65</v>
      </c>
      <c r="C72" t="s">
        <v>9</v>
      </c>
      <c r="D72" t="s">
        <v>26</v>
      </c>
      <c r="E72" s="2">
        <v>45355</v>
      </c>
      <c r="F72" s="2">
        <v>45360</v>
      </c>
      <c r="G72">
        <v>5</v>
      </c>
      <c r="H72" t="s">
        <v>14</v>
      </c>
      <c r="I72">
        <v>14157</v>
      </c>
      <c r="J72" t="str">
        <f t="shared" si="5"/>
        <v>ORTHOPEDICS</v>
      </c>
      <c r="K72" t="str">
        <f t="shared" si="6"/>
        <v>NO</v>
      </c>
      <c r="L72">
        <f t="shared" si="7"/>
        <v>5</v>
      </c>
      <c r="M72" t="str">
        <f t="shared" si="8"/>
        <v>Match</v>
      </c>
      <c r="N72">
        <f>_xlfn.XLOOKUP(UPPER(TRIM(SUBSTITUTE(J72,CHAR(160)," "))),Departments!A:A,Departments!C:C,"")</f>
        <v>6</v>
      </c>
      <c r="O72" t="str">
        <f t="shared" si="9"/>
        <v>Within Target</v>
      </c>
    </row>
    <row r="73" spans="1:15" x14ac:dyDescent="0.2">
      <c r="A73">
        <v>2072</v>
      </c>
      <c r="B73">
        <v>80</v>
      </c>
      <c r="C73" t="s">
        <v>12</v>
      </c>
      <c r="D73" t="s">
        <v>24</v>
      </c>
      <c r="E73" s="2">
        <v>45315</v>
      </c>
      <c r="F73" s="2">
        <v>45320</v>
      </c>
      <c r="G73">
        <v>5</v>
      </c>
      <c r="H73" t="s">
        <v>14</v>
      </c>
      <c r="I73">
        <v>15718</v>
      </c>
      <c r="J73" t="str">
        <f t="shared" si="5"/>
        <v>ONCOLOGY</v>
      </c>
      <c r="K73" t="str">
        <f t="shared" si="6"/>
        <v>NO</v>
      </c>
      <c r="L73">
        <f t="shared" si="7"/>
        <v>5</v>
      </c>
      <c r="M73" t="str">
        <f t="shared" si="8"/>
        <v>Match</v>
      </c>
      <c r="N73">
        <f>_xlfn.XLOOKUP(UPPER(TRIM(SUBSTITUTE(J73,CHAR(160)," "))),Departments!A:A,Departments!C:C,"")</f>
        <v>6</v>
      </c>
      <c r="O73" t="str">
        <f t="shared" si="9"/>
        <v>Within Target</v>
      </c>
    </row>
    <row r="74" spans="1:15" x14ac:dyDescent="0.2">
      <c r="A74">
        <v>2073</v>
      </c>
      <c r="B74">
        <v>77</v>
      </c>
      <c r="C74" t="s">
        <v>9</v>
      </c>
      <c r="D74" t="s">
        <v>15</v>
      </c>
      <c r="E74" s="2">
        <v>45298</v>
      </c>
      <c r="F74" s="2">
        <v>45301</v>
      </c>
      <c r="G74">
        <v>3</v>
      </c>
      <c r="H74" t="s">
        <v>11</v>
      </c>
      <c r="I74">
        <v>7735</v>
      </c>
      <c r="J74" t="str">
        <f t="shared" si="5"/>
        <v>ER</v>
      </c>
      <c r="K74" t="str">
        <f t="shared" si="6"/>
        <v>YES</v>
      </c>
      <c r="L74">
        <f t="shared" si="7"/>
        <v>3</v>
      </c>
      <c r="M74" t="str">
        <f t="shared" si="8"/>
        <v>Match</v>
      </c>
      <c r="N74">
        <f>_xlfn.XLOOKUP(UPPER(TRIM(SUBSTITUTE(J74,CHAR(160)," "))),Departments!A:A,Departments!C:C,"")</f>
        <v>2</v>
      </c>
      <c r="O74" t="str">
        <f t="shared" si="9"/>
        <v>Above Target</v>
      </c>
    </row>
    <row r="75" spans="1:15" x14ac:dyDescent="0.2">
      <c r="A75">
        <v>2074</v>
      </c>
      <c r="B75">
        <v>22</v>
      </c>
      <c r="C75" t="s">
        <v>12</v>
      </c>
      <c r="D75" t="s">
        <v>17</v>
      </c>
      <c r="E75" s="2">
        <v>45315</v>
      </c>
      <c r="F75" s="2">
        <v>45327</v>
      </c>
      <c r="G75">
        <v>12</v>
      </c>
      <c r="H75" t="s">
        <v>14</v>
      </c>
      <c r="I75">
        <v>29549</v>
      </c>
      <c r="J75" t="str">
        <f t="shared" si="5"/>
        <v>ORTHOPEDICS</v>
      </c>
      <c r="K75" t="str">
        <f t="shared" si="6"/>
        <v>NO</v>
      </c>
      <c r="L75">
        <f t="shared" si="7"/>
        <v>12</v>
      </c>
      <c r="M75" t="str">
        <f t="shared" si="8"/>
        <v>Match</v>
      </c>
      <c r="N75">
        <f>_xlfn.XLOOKUP(UPPER(TRIM(SUBSTITUTE(J75,CHAR(160)," "))),Departments!A:A,Departments!C:C,"")</f>
        <v>6</v>
      </c>
      <c r="O75" t="str">
        <f t="shared" si="9"/>
        <v>Above Target</v>
      </c>
    </row>
    <row r="76" spans="1:15" x14ac:dyDescent="0.2">
      <c r="A76">
        <v>2075</v>
      </c>
      <c r="B76">
        <v>57</v>
      </c>
      <c r="C76" t="s">
        <v>9</v>
      </c>
      <c r="D76" t="s">
        <v>13</v>
      </c>
      <c r="E76" s="2">
        <v>45292</v>
      </c>
      <c r="F76" s="2">
        <v>45295</v>
      </c>
      <c r="G76">
        <v>3</v>
      </c>
      <c r="H76" t="s">
        <v>14</v>
      </c>
      <c r="I76">
        <v>13917</v>
      </c>
      <c r="J76" t="str">
        <f t="shared" si="5"/>
        <v>CARDIOLOGY</v>
      </c>
      <c r="K76" t="str">
        <f t="shared" si="6"/>
        <v>NO</v>
      </c>
      <c r="L76">
        <f t="shared" si="7"/>
        <v>3</v>
      </c>
      <c r="M76" t="str">
        <f t="shared" si="8"/>
        <v>Match</v>
      </c>
      <c r="N76">
        <f>_xlfn.XLOOKUP(UPPER(TRIM(SUBSTITUTE(J76,CHAR(160)," "))),Departments!A:A,Departments!C:C,"")</f>
        <v>5</v>
      </c>
      <c r="O76" t="str">
        <f t="shared" si="9"/>
        <v>Within Target</v>
      </c>
    </row>
    <row r="77" spans="1:15" x14ac:dyDescent="0.2">
      <c r="A77">
        <v>2076</v>
      </c>
      <c r="B77">
        <v>46</v>
      </c>
      <c r="C77" t="s">
        <v>12</v>
      </c>
      <c r="D77" t="s">
        <v>15</v>
      </c>
      <c r="E77" s="2">
        <v>45303</v>
      </c>
      <c r="F77" s="2">
        <v>45304</v>
      </c>
      <c r="G77">
        <v>1</v>
      </c>
      <c r="H77" t="s">
        <v>14</v>
      </c>
      <c r="I77">
        <v>3763</v>
      </c>
      <c r="J77" t="str">
        <f t="shared" si="5"/>
        <v>ER</v>
      </c>
      <c r="K77" t="str">
        <f t="shared" si="6"/>
        <v>NO</v>
      </c>
      <c r="L77">
        <f t="shared" si="7"/>
        <v>1</v>
      </c>
      <c r="M77" t="str">
        <f t="shared" si="8"/>
        <v>Match</v>
      </c>
      <c r="N77">
        <f>_xlfn.XLOOKUP(UPPER(TRIM(SUBSTITUTE(J77,CHAR(160)," "))),Departments!A:A,Departments!C:C,"")</f>
        <v>2</v>
      </c>
      <c r="O77" t="str">
        <f t="shared" si="9"/>
        <v>Within Target</v>
      </c>
    </row>
    <row r="78" spans="1:15" x14ac:dyDescent="0.2">
      <c r="A78">
        <v>2077</v>
      </c>
      <c r="B78">
        <v>61</v>
      </c>
      <c r="C78" t="s">
        <v>9</v>
      </c>
      <c r="D78" t="s">
        <v>27</v>
      </c>
      <c r="E78" s="2">
        <v>45344</v>
      </c>
      <c r="F78" s="2">
        <v>45346</v>
      </c>
      <c r="G78">
        <v>2</v>
      </c>
      <c r="H78" t="s">
        <v>14</v>
      </c>
      <c r="I78">
        <v>6739</v>
      </c>
      <c r="J78" t="str">
        <f t="shared" si="5"/>
        <v xml:space="preserve"> PEDIATRICS  </v>
      </c>
      <c r="K78" t="str">
        <f t="shared" si="6"/>
        <v>NO</v>
      </c>
      <c r="L78">
        <f t="shared" si="7"/>
        <v>2</v>
      </c>
      <c r="M78" t="str">
        <f t="shared" si="8"/>
        <v>Match</v>
      </c>
      <c r="N78">
        <f>_xlfn.XLOOKUP(UPPER(TRIM(SUBSTITUTE(J78,CHAR(160)," "))),Departments!A:A,Departments!C:C,"")</f>
        <v>3</v>
      </c>
      <c r="O78" t="str">
        <f t="shared" si="9"/>
        <v>Within Target</v>
      </c>
    </row>
    <row r="79" spans="1:15" x14ac:dyDescent="0.2">
      <c r="A79">
        <v>2078</v>
      </c>
      <c r="B79">
        <v>25</v>
      </c>
      <c r="C79" t="s">
        <v>9</v>
      </c>
      <c r="D79" t="s">
        <v>22</v>
      </c>
      <c r="E79" s="2">
        <v>45335</v>
      </c>
      <c r="F79" s="2">
        <v>45342</v>
      </c>
      <c r="G79">
        <v>7</v>
      </c>
      <c r="H79" t="s">
        <v>14</v>
      </c>
      <c r="I79">
        <v>23930</v>
      </c>
      <c r="J79" t="str">
        <f t="shared" si="5"/>
        <v>ONCOLOGY</v>
      </c>
      <c r="K79" t="str">
        <f t="shared" si="6"/>
        <v>NO</v>
      </c>
      <c r="L79">
        <f t="shared" si="7"/>
        <v>7</v>
      </c>
      <c r="M79" t="str">
        <f t="shared" si="8"/>
        <v>Match</v>
      </c>
      <c r="N79">
        <f>_xlfn.XLOOKUP(UPPER(TRIM(SUBSTITUTE(J79,CHAR(160)," "))),Departments!A:A,Departments!C:C,"")</f>
        <v>6</v>
      </c>
      <c r="O79" t="str">
        <f t="shared" si="9"/>
        <v>Above Target</v>
      </c>
    </row>
    <row r="80" spans="1:15" x14ac:dyDescent="0.2">
      <c r="A80">
        <v>2079</v>
      </c>
      <c r="B80">
        <v>1</v>
      </c>
      <c r="C80" t="s">
        <v>9</v>
      </c>
      <c r="D80" t="s">
        <v>13</v>
      </c>
      <c r="E80" s="2">
        <v>45321</v>
      </c>
      <c r="F80" s="2">
        <v>45324</v>
      </c>
      <c r="G80">
        <v>3</v>
      </c>
      <c r="H80" t="s">
        <v>14</v>
      </c>
      <c r="I80">
        <v>15712</v>
      </c>
      <c r="J80" t="str">
        <f t="shared" si="5"/>
        <v>CARDIOLOGY</v>
      </c>
      <c r="K80" t="str">
        <f t="shared" si="6"/>
        <v>NO</v>
      </c>
      <c r="L80">
        <f t="shared" si="7"/>
        <v>3</v>
      </c>
      <c r="M80" t="str">
        <f t="shared" si="8"/>
        <v>Match</v>
      </c>
      <c r="N80">
        <f>_xlfn.XLOOKUP(UPPER(TRIM(SUBSTITUTE(J80,CHAR(160)," "))),Departments!A:A,Departments!C:C,"")</f>
        <v>5</v>
      </c>
      <c r="O80" t="str">
        <f t="shared" si="9"/>
        <v>Within Target</v>
      </c>
    </row>
    <row r="81" spans="1:15" x14ac:dyDescent="0.2">
      <c r="A81">
        <v>2080</v>
      </c>
      <c r="B81">
        <v>17</v>
      </c>
      <c r="C81" t="s">
        <v>12</v>
      </c>
      <c r="D81" t="s">
        <v>17</v>
      </c>
      <c r="E81" s="2">
        <v>45293</v>
      </c>
      <c r="F81" s="2">
        <v>45299</v>
      </c>
      <c r="G81">
        <v>6</v>
      </c>
      <c r="H81" t="s">
        <v>14</v>
      </c>
      <c r="I81">
        <v>15697</v>
      </c>
      <c r="J81" t="str">
        <f t="shared" si="5"/>
        <v>ORTHOPEDICS</v>
      </c>
      <c r="K81" t="str">
        <f t="shared" si="6"/>
        <v>NO</v>
      </c>
      <c r="L81">
        <f t="shared" si="7"/>
        <v>6</v>
      </c>
      <c r="M81" t="str">
        <f t="shared" si="8"/>
        <v>Match</v>
      </c>
      <c r="N81">
        <f>_xlfn.XLOOKUP(UPPER(TRIM(SUBSTITUTE(J81,CHAR(160)," "))),Departments!A:A,Departments!C:C,"")</f>
        <v>6</v>
      </c>
      <c r="O81" t="str">
        <f t="shared" si="9"/>
        <v>Within Target</v>
      </c>
    </row>
    <row r="82" spans="1:15" x14ac:dyDescent="0.2">
      <c r="A82">
        <v>2081</v>
      </c>
      <c r="B82">
        <v>77</v>
      </c>
      <c r="C82" t="s">
        <v>9</v>
      </c>
      <c r="D82" t="s">
        <v>22</v>
      </c>
      <c r="E82" s="2">
        <v>45317</v>
      </c>
      <c r="F82" s="2">
        <v>45325</v>
      </c>
      <c r="G82">
        <v>8</v>
      </c>
      <c r="H82" t="s">
        <v>14</v>
      </c>
      <c r="I82">
        <v>20783</v>
      </c>
      <c r="J82" t="str">
        <f t="shared" si="5"/>
        <v>ONCOLOGY</v>
      </c>
      <c r="K82" t="str">
        <f t="shared" si="6"/>
        <v>NO</v>
      </c>
      <c r="L82">
        <f t="shared" si="7"/>
        <v>8</v>
      </c>
      <c r="M82" t="str">
        <f t="shared" si="8"/>
        <v>Match</v>
      </c>
      <c r="N82">
        <f>_xlfn.XLOOKUP(UPPER(TRIM(SUBSTITUTE(J82,CHAR(160)," "))),Departments!A:A,Departments!C:C,"")</f>
        <v>6</v>
      </c>
      <c r="O82" t="str">
        <f t="shared" si="9"/>
        <v>Above Target</v>
      </c>
    </row>
    <row r="83" spans="1:15" x14ac:dyDescent="0.2">
      <c r="A83">
        <v>2082</v>
      </c>
      <c r="B83">
        <v>55</v>
      </c>
      <c r="C83" t="s">
        <v>9</v>
      </c>
      <c r="D83" t="s">
        <v>13</v>
      </c>
      <c r="E83" s="2">
        <v>45325</v>
      </c>
      <c r="F83" s="2">
        <v>45328</v>
      </c>
      <c r="G83">
        <v>3</v>
      </c>
      <c r="H83" t="s">
        <v>14</v>
      </c>
      <c r="I83">
        <v>14506</v>
      </c>
      <c r="J83" t="str">
        <f t="shared" si="5"/>
        <v>CARDIOLOGY</v>
      </c>
      <c r="K83" t="str">
        <f t="shared" si="6"/>
        <v>NO</v>
      </c>
      <c r="L83">
        <f t="shared" si="7"/>
        <v>3</v>
      </c>
      <c r="M83" t="str">
        <f t="shared" si="8"/>
        <v>Match</v>
      </c>
      <c r="N83">
        <f>_xlfn.XLOOKUP(UPPER(TRIM(SUBSTITUTE(J83,CHAR(160)," "))),Departments!A:A,Departments!C:C,"")</f>
        <v>5</v>
      </c>
      <c r="O83" t="str">
        <f t="shared" si="9"/>
        <v>Within Target</v>
      </c>
    </row>
    <row r="84" spans="1:15" x14ac:dyDescent="0.2">
      <c r="A84">
        <v>2083</v>
      </c>
      <c r="B84">
        <v>59</v>
      </c>
      <c r="C84" t="s">
        <v>9</v>
      </c>
      <c r="D84" t="s">
        <v>16</v>
      </c>
      <c r="E84" s="2">
        <v>45360</v>
      </c>
      <c r="F84" s="2">
        <v>45361</v>
      </c>
      <c r="G84">
        <v>1</v>
      </c>
      <c r="H84" t="s">
        <v>14</v>
      </c>
      <c r="I84">
        <v>5302</v>
      </c>
      <c r="J84" t="str">
        <f t="shared" si="5"/>
        <v>PEDIATRICS</v>
      </c>
      <c r="K84" t="str">
        <f t="shared" si="6"/>
        <v>NO</v>
      </c>
      <c r="L84">
        <f t="shared" si="7"/>
        <v>1</v>
      </c>
      <c r="M84" t="str">
        <f t="shared" si="8"/>
        <v>Match</v>
      </c>
      <c r="N84">
        <f>_xlfn.XLOOKUP(UPPER(TRIM(SUBSTITUTE(J84,CHAR(160)," "))),Departments!A:A,Departments!C:C,"")</f>
        <v>3</v>
      </c>
      <c r="O84" t="str">
        <f t="shared" si="9"/>
        <v>Within Target</v>
      </c>
    </row>
    <row r="85" spans="1:15" x14ac:dyDescent="0.2">
      <c r="A85">
        <v>2084</v>
      </c>
      <c r="B85">
        <v>57</v>
      </c>
      <c r="C85" t="s">
        <v>9</v>
      </c>
      <c r="D85" t="s">
        <v>17</v>
      </c>
      <c r="E85" s="2">
        <v>45323</v>
      </c>
      <c r="F85" s="2">
        <v>45328</v>
      </c>
      <c r="G85">
        <v>5</v>
      </c>
      <c r="H85" t="s">
        <v>14</v>
      </c>
      <c r="I85">
        <v>18005</v>
      </c>
      <c r="J85" t="str">
        <f t="shared" si="5"/>
        <v>ORTHOPEDICS</v>
      </c>
      <c r="K85" t="str">
        <f t="shared" si="6"/>
        <v>NO</v>
      </c>
      <c r="L85">
        <f t="shared" si="7"/>
        <v>5</v>
      </c>
      <c r="M85" t="str">
        <f t="shared" si="8"/>
        <v>Match</v>
      </c>
      <c r="N85">
        <f>_xlfn.XLOOKUP(UPPER(TRIM(SUBSTITUTE(J85,CHAR(160)," "))),Departments!A:A,Departments!C:C,"")</f>
        <v>6</v>
      </c>
      <c r="O85" t="str">
        <f t="shared" si="9"/>
        <v>Within Target</v>
      </c>
    </row>
    <row r="86" spans="1:15" x14ac:dyDescent="0.2">
      <c r="A86">
        <v>2085</v>
      </c>
      <c r="B86">
        <v>30</v>
      </c>
      <c r="C86" t="s">
        <v>9</v>
      </c>
      <c r="D86" t="s">
        <v>27</v>
      </c>
      <c r="E86" s="2">
        <v>45351</v>
      </c>
      <c r="F86" s="2">
        <v>45352</v>
      </c>
      <c r="G86">
        <v>1</v>
      </c>
      <c r="H86" t="s">
        <v>14</v>
      </c>
      <c r="I86">
        <v>6880</v>
      </c>
      <c r="J86" t="str">
        <f t="shared" si="5"/>
        <v xml:space="preserve"> PEDIATRICS  </v>
      </c>
      <c r="K86" t="str">
        <f t="shared" si="6"/>
        <v>NO</v>
      </c>
      <c r="L86">
        <f t="shared" si="7"/>
        <v>1</v>
      </c>
      <c r="M86" t="str">
        <f t="shared" si="8"/>
        <v>Match</v>
      </c>
      <c r="N86">
        <f>_xlfn.XLOOKUP(UPPER(TRIM(SUBSTITUTE(J86,CHAR(160)," "))),Departments!A:A,Departments!C:C,"")</f>
        <v>3</v>
      </c>
      <c r="O86" t="str">
        <f t="shared" si="9"/>
        <v>Within Target</v>
      </c>
    </row>
    <row r="87" spans="1:15" x14ac:dyDescent="0.2">
      <c r="A87">
        <v>2086</v>
      </c>
      <c r="B87">
        <v>38</v>
      </c>
      <c r="C87" t="s">
        <v>9</v>
      </c>
      <c r="D87" t="s">
        <v>13</v>
      </c>
      <c r="E87" s="2">
        <v>45298</v>
      </c>
      <c r="F87" s="2">
        <v>45303</v>
      </c>
      <c r="G87">
        <v>5</v>
      </c>
      <c r="H87" t="s">
        <v>14</v>
      </c>
      <c r="I87">
        <v>19067</v>
      </c>
      <c r="J87" t="str">
        <f t="shared" si="5"/>
        <v>CARDIOLOGY</v>
      </c>
      <c r="K87" t="str">
        <f t="shared" si="6"/>
        <v>NO</v>
      </c>
      <c r="L87">
        <f t="shared" si="7"/>
        <v>5</v>
      </c>
      <c r="M87" t="str">
        <f t="shared" si="8"/>
        <v>Match</v>
      </c>
      <c r="N87">
        <f>_xlfn.XLOOKUP(UPPER(TRIM(SUBSTITUTE(J87,CHAR(160)," "))),Departments!A:A,Departments!C:C,"")</f>
        <v>5</v>
      </c>
      <c r="O87" t="str">
        <f t="shared" si="9"/>
        <v>Within Target</v>
      </c>
    </row>
    <row r="88" spans="1:15" x14ac:dyDescent="0.2">
      <c r="A88">
        <v>2087</v>
      </c>
      <c r="B88">
        <v>34</v>
      </c>
      <c r="C88" t="s">
        <v>9</v>
      </c>
      <c r="D88" t="s">
        <v>13</v>
      </c>
      <c r="E88" s="2">
        <v>45373</v>
      </c>
      <c r="F88" s="2">
        <v>45380</v>
      </c>
      <c r="G88">
        <v>7</v>
      </c>
      <c r="H88" t="s">
        <v>14</v>
      </c>
      <c r="I88">
        <v>20481</v>
      </c>
      <c r="J88" t="str">
        <f t="shared" si="5"/>
        <v>CARDIOLOGY</v>
      </c>
      <c r="K88" t="str">
        <f t="shared" si="6"/>
        <v>NO</v>
      </c>
      <c r="L88">
        <f t="shared" si="7"/>
        <v>7</v>
      </c>
      <c r="M88" t="str">
        <f t="shared" si="8"/>
        <v>Match</v>
      </c>
      <c r="N88">
        <f>_xlfn.XLOOKUP(UPPER(TRIM(SUBSTITUTE(J88,CHAR(160)," "))),Departments!A:A,Departments!C:C,"")</f>
        <v>5</v>
      </c>
      <c r="O88" t="str">
        <f t="shared" si="9"/>
        <v>Above Target</v>
      </c>
    </row>
    <row r="89" spans="1:15" x14ac:dyDescent="0.2">
      <c r="A89">
        <v>2088</v>
      </c>
      <c r="B89">
        <v>84</v>
      </c>
      <c r="C89" t="s">
        <v>9</v>
      </c>
      <c r="D89" t="s">
        <v>13</v>
      </c>
      <c r="E89" s="2">
        <v>45333</v>
      </c>
      <c r="F89" s="2">
        <v>45341</v>
      </c>
      <c r="G89">
        <v>8</v>
      </c>
      <c r="H89" t="s">
        <v>14</v>
      </c>
      <c r="I89">
        <v>19703</v>
      </c>
      <c r="J89" t="str">
        <f t="shared" si="5"/>
        <v>CARDIOLOGY</v>
      </c>
      <c r="K89" t="str">
        <f t="shared" si="6"/>
        <v>NO</v>
      </c>
      <c r="L89">
        <f t="shared" si="7"/>
        <v>8</v>
      </c>
      <c r="M89" t="str">
        <f t="shared" si="8"/>
        <v>Match</v>
      </c>
      <c r="N89">
        <f>_xlfn.XLOOKUP(UPPER(TRIM(SUBSTITUTE(J89,CHAR(160)," "))),Departments!A:A,Departments!C:C,"")</f>
        <v>5</v>
      </c>
      <c r="O89" t="str">
        <f t="shared" si="9"/>
        <v>Above Target</v>
      </c>
    </row>
    <row r="90" spans="1:15" x14ac:dyDescent="0.2">
      <c r="A90">
        <v>2089</v>
      </c>
      <c r="B90">
        <v>9</v>
      </c>
      <c r="C90" t="s">
        <v>12</v>
      </c>
      <c r="D90" t="s">
        <v>13</v>
      </c>
      <c r="E90" s="2">
        <v>45342</v>
      </c>
      <c r="F90" s="2">
        <v>45352</v>
      </c>
      <c r="G90">
        <v>10</v>
      </c>
      <c r="H90" t="s">
        <v>11</v>
      </c>
      <c r="I90">
        <v>28316</v>
      </c>
      <c r="J90" t="str">
        <f t="shared" si="5"/>
        <v>CARDIOLOGY</v>
      </c>
      <c r="K90" t="str">
        <f t="shared" si="6"/>
        <v>YES</v>
      </c>
      <c r="L90">
        <f t="shared" si="7"/>
        <v>10</v>
      </c>
      <c r="M90" t="str">
        <f t="shared" si="8"/>
        <v>Match</v>
      </c>
      <c r="N90">
        <f>_xlfn.XLOOKUP(UPPER(TRIM(SUBSTITUTE(J90,CHAR(160)," "))),Departments!A:A,Departments!C:C,"")</f>
        <v>5</v>
      </c>
      <c r="O90" t="str">
        <f t="shared" si="9"/>
        <v>Above Target</v>
      </c>
    </row>
    <row r="91" spans="1:15" x14ac:dyDescent="0.2">
      <c r="A91">
        <v>2090</v>
      </c>
      <c r="B91">
        <v>86</v>
      </c>
      <c r="C91" t="s">
        <v>12</v>
      </c>
      <c r="D91" t="s">
        <v>15</v>
      </c>
      <c r="E91" s="2">
        <v>45298</v>
      </c>
      <c r="F91" s="2">
        <v>45299</v>
      </c>
      <c r="G91">
        <v>1</v>
      </c>
      <c r="H91" t="s">
        <v>14</v>
      </c>
      <c r="I91">
        <v>4179</v>
      </c>
      <c r="J91" t="str">
        <f t="shared" si="5"/>
        <v>ER</v>
      </c>
      <c r="K91" t="str">
        <f t="shared" si="6"/>
        <v>NO</v>
      </c>
      <c r="L91">
        <f t="shared" si="7"/>
        <v>1</v>
      </c>
      <c r="M91" t="str">
        <f t="shared" si="8"/>
        <v>Match</v>
      </c>
      <c r="N91">
        <f>_xlfn.XLOOKUP(UPPER(TRIM(SUBSTITUTE(J91,CHAR(160)," "))),Departments!A:A,Departments!C:C,"")</f>
        <v>2</v>
      </c>
      <c r="O91" t="str">
        <f t="shared" si="9"/>
        <v>Within Target</v>
      </c>
    </row>
    <row r="92" spans="1:15" x14ac:dyDescent="0.2">
      <c r="A92">
        <v>2091</v>
      </c>
      <c r="B92">
        <v>26</v>
      </c>
      <c r="C92" t="s">
        <v>12</v>
      </c>
      <c r="D92" t="s">
        <v>16</v>
      </c>
      <c r="E92" s="2">
        <v>45343</v>
      </c>
      <c r="F92" s="2">
        <v>45345</v>
      </c>
      <c r="G92">
        <v>2</v>
      </c>
      <c r="H92" t="s">
        <v>14</v>
      </c>
      <c r="I92">
        <v>8624</v>
      </c>
      <c r="J92" t="str">
        <f t="shared" si="5"/>
        <v>PEDIATRICS</v>
      </c>
      <c r="K92" t="str">
        <f t="shared" si="6"/>
        <v>NO</v>
      </c>
      <c r="L92">
        <f t="shared" si="7"/>
        <v>2</v>
      </c>
      <c r="M92" t="str">
        <f t="shared" si="8"/>
        <v>Match</v>
      </c>
      <c r="N92">
        <f>_xlfn.XLOOKUP(UPPER(TRIM(SUBSTITUTE(J92,CHAR(160)," "))),Departments!A:A,Departments!C:C,"")</f>
        <v>3</v>
      </c>
      <c r="O92" t="str">
        <f t="shared" si="9"/>
        <v>Within Target</v>
      </c>
    </row>
    <row r="93" spans="1:15" x14ac:dyDescent="0.2">
      <c r="A93">
        <v>2092</v>
      </c>
      <c r="B93">
        <v>47</v>
      </c>
      <c r="C93" t="s">
        <v>12</v>
      </c>
      <c r="D93" t="s">
        <v>17</v>
      </c>
      <c r="E93" s="2">
        <v>45308</v>
      </c>
      <c r="F93" s="2">
        <v>45310</v>
      </c>
      <c r="G93">
        <v>2</v>
      </c>
      <c r="H93" t="s">
        <v>11</v>
      </c>
      <c r="I93">
        <v>10894</v>
      </c>
      <c r="J93" t="str">
        <f t="shared" si="5"/>
        <v>ORTHOPEDICS</v>
      </c>
      <c r="K93" t="str">
        <f t="shared" si="6"/>
        <v>YES</v>
      </c>
      <c r="L93">
        <f t="shared" si="7"/>
        <v>2</v>
      </c>
      <c r="M93" t="str">
        <f t="shared" si="8"/>
        <v>Match</v>
      </c>
      <c r="N93">
        <f>_xlfn.XLOOKUP(UPPER(TRIM(SUBSTITUTE(J93,CHAR(160)," "))),Departments!A:A,Departments!C:C,"")</f>
        <v>6</v>
      </c>
      <c r="O93" t="str">
        <f t="shared" si="9"/>
        <v>Within Target</v>
      </c>
    </row>
    <row r="94" spans="1:15" x14ac:dyDescent="0.2">
      <c r="A94">
        <v>2093</v>
      </c>
      <c r="B94">
        <v>65</v>
      </c>
      <c r="C94" t="s">
        <v>9</v>
      </c>
      <c r="D94" t="s">
        <v>17</v>
      </c>
      <c r="E94" s="2">
        <v>45336</v>
      </c>
      <c r="F94" s="2">
        <v>45342</v>
      </c>
      <c r="G94">
        <v>6</v>
      </c>
      <c r="H94" t="s">
        <v>11</v>
      </c>
      <c r="I94">
        <v>16601</v>
      </c>
      <c r="J94" t="str">
        <f t="shared" si="5"/>
        <v>ORTHOPEDICS</v>
      </c>
      <c r="K94" t="str">
        <f t="shared" si="6"/>
        <v>YES</v>
      </c>
      <c r="L94">
        <f t="shared" si="7"/>
        <v>6</v>
      </c>
      <c r="M94" t="str">
        <f t="shared" si="8"/>
        <v>Match</v>
      </c>
      <c r="N94">
        <f>_xlfn.XLOOKUP(UPPER(TRIM(SUBSTITUTE(J94,CHAR(160)," "))),Departments!A:A,Departments!C:C,"")</f>
        <v>6</v>
      </c>
      <c r="O94" t="str">
        <f t="shared" si="9"/>
        <v>Within Target</v>
      </c>
    </row>
    <row r="95" spans="1:15" x14ac:dyDescent="0.2">
      <c r="A95">
        <v>2094</v>
      </c>
      <c r="B95">
        <v>26</v>
      </c>
      <c r="C95" t="s">
        <v>12</v>
      </c>
      <c r="D95" t="s">
        <v>17</v>
      </c>
      <c r="E95" s="2">
        <v>45297</v>
      </c>
      <c r="F95" s="2">
        <v>45306</v>
      </c>
      <c r="G95">
        <v>9</v>
      </c>
      <c r="H95" t="s">
        <v>14</v>
      </c>
      <c r="I95">
        <v>28392</v>
      </c>
      <c r="J95" t="str">
        <f t="shared" si="5"/>
        <v>ORTHOPEDICS</v>
      </c>
      <c r="K95" t="str">
        <f t="shared" si="6"/>
        <v>NO</v>
      </c>
      <c r="L95">
        <f t="shared" si="7"/>
        <v>9</v>
      </c>
      <c r="M95" t="str">
        <f t="shared" si="8"/>
        <v>Match</v>
      </c>
      <c r="N95">
        <f>_xlfn.XLOOKUP(UPPER(TRIM(SUBSTITUTE(J95,CHAR(160)," "))),Departments!A:A,Departments!C:C,"")</f>
        <v>6</v>
      </c>
      <c r="O95" t="str">
        <f t="shared" si="9"/>
        <v>Above Target</v>
      </c>
    </row>
    <row r="96" spans="1:15" x14ac:dyDescent="0.2">
      <c r="A96">
        <v>2095</v>
      </c>
      <c r="B96">
        <v>21</v>
      </c>
      <c r="C96" t="s">
        <v>9</v>
      </c>
      <c r="D96" t="s">
        <v>22</v>
      </c>
      <c r="E96" s="2">
        <v>45343</v>
      </c>
      <c r="F96" s="2">
        <v>45354</v>
      </c>
      <c r="G96">
        <v>11</v>
      </c>
      <c r="H96" t="s">
        <v>14</v>
      </c>
      <c r="I96">
        <v>29622</v>
      </c>
      <c r="J96" t="str">
        <f t="shared" si="5"/>
        <v>ONCOLOGY</v>
      </c>
      <c r="K96" t="str">
        <f t="shared" si="6"/>
        <v>NO</v>
      </c>
      <c r="L96">
        <f t="shared" si="7"/>
        <v>11</v>
      </c>
      <c r="M96" t="str">
        <f t="shared" si="8"/>
        <v>Match</v>
      </c>
      <c r="N96">
        <f>_xlfn.XLOOKUP(UPPER(TRIM(SUBSTITUTE(J96,CHAR(160)," "))),Departments!A:A,Departments!C:C,"")</f>
        <v>6</v>
      </c>
      <c r="O96" t="str">
        <f t="shared" si="9"/>
        <v>Above Target</v>
      </c>
    </row>
    <row r="97" spans="1:15" x14ac:dyDescent="0.2">
      <c r="A97">
        <v>2096</v>
      </c>
      <c r="B97">
        <v>46</v>
      </c>
      <c r="C97" t="s">
        <v>9</v>
      </c>
      <c r="D97" t="s">
        <v>26</v>
      </c>
      <c r="E97" s="2">
        <v>45323</v>
      </c>
      <c r="F97" s="2">
        <v>45328</v>
      </c>
      <c r="G97">
        <v>5</v>
      </c>
      <c r="H97" t="s">
        <v>11</v>
      </c>
      <c r="I97">
        <v>19180</v>
      </c>
      <c r="J97" t="str">
        <f t="shared" si="5"/>
        <v>ORTHOPEDICS</v>
      </c>
      <c r="K97" t="str">
        <f t="shared" si="6"/>
        <v>YES</v>
      </c>
      <c r="L97">
        <f t="shared" si="7"/>
        <v>5</v>
      </c>
      <c r="M97" t="str">
        <f t="shared" si="8"/>
        <v>Match</v>
      </c>
      <c r="N97">
        <f>_xlfn.XLOOKUP(UPPER(TRIM(SUBSTITUTE(J97,CHAR(160)," "))),Departments!A:A,Departments!C:C,"")</f>
        <v>6</v>
      </c>
      <c r="O97" t="str">
        <f t="shared" si="9"/>
        <v>Within Target</v>
      </c>
    </row>
    <row r="98" spans="1:15" x14ac:dyDescent="0.2">
      <c r="A98">
        <v>2097</v>
      </c>
      <c r="B98">
        <v>77</v>
      </c>
      <c r="C98" t="s">
        <v>12</v>
      </c>
      <c r="D98" t="s">
        <v>22</v>
      </c>
      <c r="E98" s="2">
        <v>45372</v>
      </c>
      <c r="F98" s="2">
        <v>45386</v>
      </c>
      <c r="G98">
        <v>14</v>
      </c>
      <c r="H98" t="s">
        <v>14</v>
      </c>
      <c r="I98">
        <v>33971</v>
      </c>
      <c r="J98" t="str">
        <f t="shared" si="5"/>
        <v>ONCOLOGY</v>
      </c>
      <c r="K98" t="str">
        <f t="shared" si="6"/>
        <v>NO</v>
      </c>
      <c r="L98">
        <f t="shared" si="7"/>
        <v>14</v>
      </c>
      <c r="M98" t="str">
        <f t="shared" si="8"/>
        <v>Match</v>
      </c>
      <c r="N98">
        <f>_xlfn.XLOOKUP(UPPER(TRIM(SUBSTITUTE(J98,CHAR(160)," "))),Departments!A:A,Departments!C:C,"")</f>
        <v>6</v>
      </c>
      <c r="O98" t="str">
        <f t="shared" si="9"/>
        <v>Above Target</v>
      </c>
    </row>
    <row r="99" spans="1:15" x14ac:dyDescent="0.2">
      <c r="A99">
        <v>2098</v>
      </c>
      <c r="B99">
        <v>57</v>
      </c>
      <c r="C99" t="s">
        <v>9</v>
      </c>
      <c r="D99" t="s">
        <v>13</v>
      </c>
      <c r="E99" s="2">
        <v>45292</v>
      </c>
      <c r="F99" s="2">
        <v>45301</v>
      </c>
      <c r="G99">
        <v>9</v>
      </c>
      <c r="H99" t="s">
        <v>14</v>
      </c>
      <c r="I99">
        <v>26098</v>
      </c>
      <c r="J99" t="str">
        <f t="shared" si="5"/>
        <v>CARDIOLOGY</v>
      </c>
      <c r="K99" t="str">
        <f t="shared" si="6"/>
        <v>NO</v>
      </c>
      <c r="L99">
        <f t="shared" si="7"/>
        <v>9</v>
      </c>
      <c r="M99" t="str">
        <f t="shared" si="8"/>
        <v>Match</v>
      </c>
      <c r="N99">
        <f>_xlfn.XLOOKUP(UPPER(TRIM(SUBSTITUTE(J99,CHAR(160)," "))),Departments!A:A,Departments!C:C,"")</f>
        <v>5</v>
      </c>
      <c r="O99" t="str">
        <f t="shared" si="9"/>
        <v>Above Target</v>
      </c>
    </row>
    <row r="100" spans="1:15" x14ac:dyDescent="0.2">
      <c r="A100">
        <v>2099</v>
      </c>
      <c r="B100">
        <v>52</v>
      </c>
      <c r="C100" t="s">
        <v>9</v>
      </c>
      <c r="D100" t="s">
        <v>13</v>
      </c>
      <c r="E100" s="2">
        <v>45308</v>
      </c>
      <c r="F100" s="2">
        <v>45315</v>
      </c>
      <c r="G100">
        <v>7</v>
      </c>
      <c r="H100" t="s">
        <v>14</v>
      </c>
      <c r="I100">
        <v>17452</v>
      </c>
      <c r="J100" t="str">
        <f t="shared" si="5"/>
        <v>CARDIOLOGY</v>
      </c>
      <c r="K100" t="str">
        <f t="shared" si="6"/>
        <v>NO</v>
      </c>
      <c r="L100">
        <f t="shared" si="7"/>
        <v>7</v>
      </c>
      <c r="M100" t="str">
        <f t="shared" si="8"/>
        <v>Match</v>
      </c>
      <c r="N100">
        <f>_xlfn.XLOOKUP(UPPER(TRIM(SUBSTITUTE(J100,CHAR(160)," "))),Departments!A:A,Departments!C:C,"")</f>
        <v>5</v>
      </c>
      <c r="O100" t="str">
        <f t="shared" si="9"/>
        <v>Above Target</v>
      </c>
    </row>
    <row r="101" spans="1:15" x14ac:dyDescent="0.2">
      <c r="A101">
        <v>2100</v>
      </c>
      <c r="B101">
        <v>11</v>
      </c>
      <c r="C101" t="s">
        <v>12</v>
      </c>
      <c r="D101" t="s">
        <v>16</v>
      </c>
      <c r="E101" s="2">
        <v>45357</v>
      </c>
      <c r="F101" s="2">
        <v>45358</v>
      </c>
      <c r="G101">
        <v>1</v>
      </c>
      <c r="H101" t="s">
        <v>11</v>
      </c>
      <c r="I101">
        <v>6964</v>
      </c>
      <c r="J101" t="str">
        <f t="shared" si="5"/>
        <v>PEDIATRICS</v>
      </c>
      <c r="K101" t="str">
        <f t="shared" si="6"/>
        <v>YES</v>
      </c>
      <c r="L101">
        <f t="shared" si="7"/>
        <v>1</v>
      </c>
      <c r="M101" t="str">
        <f t="shared" si="8"/>
        <v>Match</v>
      </c>
      <c r="N101">
        <f>_xlfn.XLOOKUP(UPPER(TRIM(SUBSTITUTE(J101,CHAR(160)," "))),Departments!A:A,Departments!C:C,"")</f>
        <v>3</v>
      </c>
      <c r="O101" t="str">
        <f t="shared" si="9"/>
        <v>Within Target</v>
      </c>
    </row>
    <row r="102" spans="1:15" x14ac:dyDescent="0.2">
      <c r="A102">
        <v>2101</v>
      </c>
      <c r="B102">
        <v>79</v>
      </c>
      <c r="C102" t="s">
        <v>9</v>
      </c>
      <c r="D102" t="s">
        <v>17</v>
      </c>
      <c r="E102" s="2">
        <v>45308</v>
      </c>
      <c r="F102" s="2">
        <v>45317</v>
      </c>
      <c r="G102">
        <v>9</v>
      </c>
      <c r="H102" t="s">
        <v>14</v>
      </c>
      <c r="I102">
        <v>19747</v>
      </c>
      <c r="J102" t="str">
        <f t="shared" si="5"/>
        <v>ORTHOPEDICS</v>
      </c>
      <c r="K102" t="str">
        <f t="shared" si="6"/>
        <v>NO</v>
      </c>
      <c r="L102">
        <f t="shared" si="7"/>
        <v>9</v>
      </c>
      <c r="M102" t="str">
        <f t="shared" si="8"/>
        <v>Match</v>
      </c>
      <c r="N102">
        <f>_xlfn.XLOOKUP(UPPER(TRIM(SUBSTITUTE(J102,CHAR(160)," "))),Departments!A:A,Departments!C:C,"")</f>
        <v>6</v>
      </c>
      <c r="O102" t="str">
        <f t="shared" si="9"/>
        <v>Above Target</v>
      </c>
    </row>
    <row r="103" spans="1:15" x14ac:dyDescent="0.2">
      <c r="A103">
        <v>2102</v>
      </c>
      <c r="B103">
        <v>33</v>
      </c>
      <c r="C103" t="s">
        <v>9</v>
      </c>
      <c r="D103" t="s">
        <v>20</v>
      </c>
      <c r="E103" s="2">
        <v>45370</v>
      </c>
      <c r="F103" s="2">
        <v>45377</v>
      </c>
      <c r="G103">
        <v>7</v>
      </c>
      <c r="H103" t="s">
        <v>14</v>
      </c>
      <c r="I103">
        <v>20832</v>
      </c>
      <c r="J103" t="str">
        <f t="shared" si="5"/>
        <v>NEUROLOGY</v>
      </c>
      <c r="K103" t="str">
        <f t="shared" si="6"/>
        <v>NO</v>
      </c>
      <c r="L103">
        <f t="shared" si="7"/>
        <v>7</v>
      </c>
      <c r="M103" t="str">
        <f t="shared" si="8"/>
        <v>Match</v>
      </c>
      <c r="N103">
        <f>_xlfn.XLOOKUP(UPPER(TRIM(SUBSTITUTE(J103,CHAR(160)," "))),Departments!A:A,Departments!C:C,"")</f>
        <v>7</v>
      </c>
      <c r="O103" t="str">
        <f t="shared" si="9"/>
        <v>Within Target</v>
      </c>
    </row>
    <row r="104" spans="1:15" x14ac:dyDescent="0.2">
      <c r="A104">
        <v>2103</v>
      </c>
      <c r="B104">
        <v>79</v>
      </c>
      <c r="C104" t="s">
        <v>9</v>
      </c>
      <c r="D104" t="s">
        <v>20</v>
      </c>
      <c r="E104" s="2">
        <v>45339</v>
      </c>
      <c r="F104" s="2">
        <v>45342</v>
      </c>
      <c r="G104">
        <v>3</v>
      </c>
      <c r="H104" t="s">
        <v>11</v>
      </c>
      <c r="I104">
        <v>13208</v>
      </c>
      <c r="J104" t="str">
        <f t="shared" si="5"/>
        <v>NEUROLOGY</v>
      </c>
      <c r="K104" t="str">
        <f t="shared" si="6"/>
        <v>YES</v>
      </c>
      <c r="L104">
        <f t="shared" si="7"/>
        <v>3</v>
      </c>
      <c r="M104" t="str">
        <f t="shared" si="8"/>
        <v>Match</v>
      </c>
      <c r="N104">
        <f>_xlfn.XLOOKUP(UPPER(TRIM(SUBSTITUTE(J104,CHAR(160)," "))),Departments!A:A,Departments!C:C,"")</f>
        <v>7</v>
      </c>
      <c r="O104" t="str">
        <f t="shared" si="9"/>
        <v>Within Target</v>
      </c>
    </row>
    <row r="105" spans="1:15" x14ac:dyDescent="0.2">
      <c r="A105">
        <v>2104</v>
      </c>
      <c r="B105">
        <v>34</v>
      </c>
      <c r="C105" t="s">
        <v>9</v>
      </c>
      <c r="D105" t="s">
        <v>22</v>
      </c>
      <c r="E105" s="2">
        <v>45298</v>
      </c>
      <c r="F105" s="2">
        <v>45310</v>
      </c>
      <c r="G105">
        <v>12</v>
      </c>
      <c r="H105" t="s">
        <v>14</v>
      </c>
      <c r="I105">
        <v>31761</v>
      </c>
      <c r="J105" t="str">
        <f t="shared" si="5"/>
        <v>ONCOLOGY</v>
      </c>
      <c r="K105" t="str">
        <f t="shared" si="6"/>
        <v>NO</v>
      </c>
      <c r="L105">
        <f t="shared" si="7"/>
        <v>12</v>
      </c>
      <c r="M105" t="str">
        <f t="shared" si="8"/>
        <v>Match</v>
      </c>
      <c r="N105">
        <f>_xlfn.XLOOKUP(UPPER(TRIM(SUBSTITUTE(J105,CHAR(160)," "))),Departments!A:A,Departments!C:C,"")</f>
        <v>6</v>
      </c>
      <c r="O105" t="str">
        <f t="shared" si="9"/>
        <v>Above Target</v>
      </c>
    </row>
    <row r="106" spans="1:15" x14ac:dyDescent="0.2">
      <c r="A106">
        <v>2105</v>
      </c>
      <c r="B106">
        <v>69</v>
      </c>
      <c r="C106" t="s">
        <v>12</v>
      </c>
      <c r="D106" t="s">
        <v>16</v>
      </c>
      <c r="E106" s="2">
        <v>45339</v>
      </c>
      <c r="F106" s="2">
        <v>45342</v>
      </c>
      <c r="G106">
        <v>3</v>
      </c>
      <c r="H106" t="s">
        <v>14</v>
      </c>
      <c r="I106">
        <v>9347</v>
      </c>
      <c r="J106" t="str">
        <f t="shared" si="5"/>
        <v>PEDIATRICS</v>
      </c>
      <c r="K106" t="str">
        <f t="shared" si="6"/>
        <v>NO</v>
      </c>
      <c r="L106">
        <f t="shared" si="7"/>
        <v>3</v>
      </c>
      <c r="M106" t="str">
        <f t="shared" si="8"/>
        <v>Match</v>
      </c>
      <c r="N106">
        <f>_xlfn.XLOOKUP(UPPER(TRIM(SUBSTITUTE(J106,CHAR(160)," "))),Departments!A:A,Departments!C:C,"")</f>
        <v>3</v>
      </c>
      <c r="O106" t="str">
        <f t="shared" si="9"/>
        <v>Within Target</v>
      </c>
    </row>
    <row r="107" spans="1:15" x14ac:dyDescent="0.2">
      <c r="A107">
        <v>2106</v>
      </c>
      <c r="B107">
        <v>79</v>
      </c>
      <c r="C107" t="s">
        <v>9</v>
      </c>
      <c r="D107" t="s">
        <v>19</v>
      </c>
      <c r="E107" s="2">
        <v>45358</v>
      </c>
      <c r="F107" s="2">
        <v>45365</v>
      </c>
      <c r="H107" t="s">
        <v>14</v>
      </c>
      <c r="I107">
        <v>24294</v>
      </c>
      <c r="J107" t="str">
        <f t="shared" si="5"/>
        <v>NEUROLOGY</v>
      </c>
      <c r="K107" t="str">
        <f t="shared" si="6"/>
        <v>NO</v>
      </c>
      <c r="L107">
        <f t="shared" si="7"/>
        <v>7</v>
      </c>
      <c r="M107" t="str">
        <f t="shared" si="8"/>
        <v/>
      </c>
      <c r="N107">
        <f>_xlfn.XLOOKUP(UPPER(TRIM(SUBSTITUTE(J107,CHAR(160)," "))),Departments!A:A,Departments!C:C,"")</f>
        <v>7</v>
      </c>
      <c r="O107" t="str">
        <f t="shared" si="9"/>
        <v>Within Target</v>
      </c>
    </row>
    <row r="108" spans="1:15" x14ac:dyDescent="0.2">
      <c r="A108">
        <v>2107</v>
      </c>
      <c r="B108">
        <v>20</v>
      </c>
      <c r="C108" t="s">
        <v>12</v>
      </c>
      <c r="D108" t="s">
        <v>28</v>
      </c>
      <c r="E108" s="2">
        <v>45372</v>
      </c>
      <c r="F108" s="2">
        <v>45380</v>
      </c>
      <c r="G108">
        <v>8</v>
      </c>
      <c r="H108" t="s">
        <v>14</v>
      </c>
      <c r="I108">
        <v>23694</v>
      </c>
      <c r="J108" t="str">
        <f t="shared" si="5"/>
        <v xml:space="preserve"> ONCOLOGY  </v>
      </c>
      <c r="K108" t="str">
        <f t="shared" si="6"/>
        <v>NO</v>
      </c>
      <c r="L108">
        <f t="shared" si="7"/>
        <v>8</v>
      </c>
      <c r="M108" t="str">
        <f t="shared" si="8"/>
        <v>Match</v>
      </c>
      <c r="N108">
        <f>_xlfn.XLOOKUP(UPPER(TRIM(SUBSTITUTE(J108,CHAR(160)," "))),Departments!A:A,Departments!C:C,"")</f>
        <v>6</v>
      </c>
      <c r="O108" t="str">
        <f t="shared" si="9"/>
        <v>Above Target</v>
      </c>
    </row>
    <row r="109" spans="1:15" x14ac:dyDescent="0.2">
      <c r="A109">
        <v>2108</v>
      </c>
      <c r="B109">
        <v>7</v>
      </c>
      <c r="C109" t="s">
        <v>9</v>
      </c>
      <c r="D109" t="s">
        <v>22</v>
      </c>
      <c r="E109" s="2">
        <v>45337</v>
      </c>
      <c r="F109" s="2">
        <v>45343</v>
      </c>
      <c r="G109">
        <v>6</v>
      </c>
      <c r="H109" t="s">
        <v>11</v>
      </c>
      <c r="I109">
        <v>19579</v>
      </c>
      <c r="J109" t="str">
        <f t="shared" si="5"/>
        <v>ONCOLOGY</v>
      </c>
      <c r="K109" t="str">
        <f t="shared" si="6"/>
        <v>YES</v>
      </c>
      <c r="L109">
        <f t="shared" si="7"/>
        <v>6</v>
      </c>
      <c r="M109" t="str">
        <f t="shared" si="8"/>
        <v>Match</v>
      </c>
      <c r="N109">
        <f>_xlfn.XLOOKUP(UPPER(TRIM(SUBSTITUTE(J109,CHAR(160)," "))),Departments!A:A,Departments!C:C,"")</f>
        <v>6</v>
      </c>
      <c r="O109" t="str">
        <f t="shared" si="9"/>
        <v>Within Target</v>
      </c>
    </row>
    <row r="110" spans="1:15" x14ac:dyDescent="0.2">
      <c r="A110">
        <v>2109</v>
      </c>
      <c r="B110">
        <v>80</v>
      </c>
      <c r="C110" t="s">
        <v>12</v>
      </c>
      <c r="D110" t="s">
        <v>17</v>
      </c>
      <c r="E110" s="2">
        <v>45309</v>
      </c>
      <c r="F110" s="2">
        <v>45311</v>
      </c>
      <c r="G110">
        <v>2</v>
      </c>
      <c r="H110" t="s">
        <v>14</v>
      </c>
      <c r="I110">
        <v>11444</v>
      </c>
      <c r="J110" t="str">
        <f t="shared" si="5"/>
        <v>ORTHOPEDICS</v>
      </c>
      <c r="K110" t="str">
        <f t="shared" si="6"/>
        <v>NO</v>
      </c>
      <c r="L110">
        <f t="shared" si="7"/>
        <v>2</v>
      </c>
      <c r="M110" t="str">
        <f t="shared" si="8"/>
        <v>Match</v>
      </c>
      <c r="N110">
        <f>_xlfn.XLOOKUP(UPPER(TRIM(SUBSTITUTE(J110,CHAR(160)," "))),Departments!A:A,Departments!C:C,"")</f>
        <v>6</v>
      </c>
      <c r="O110" t="str">
        <f t="shared" si="9"/>
        <v>Within Target</v>
      </c>
    </row>
    <row r="111" spans="1:15" x14ac:dyDescent="0.2">
      <c r="A111">
        <v>2110</v>
      </c>
      <c r="B111">
        <v>35</v>
      </c>
      <c r="C111" t="s">
        <v>12</v>
      </c>
      <c r="D111" t="s">
        <v>20</v>
      </c>
      <c r="E111" s="2">
        <v>45293</v>
      </c>
      <c r="F111" s="2">
        <v>45296</v>
      </c>
      <c r="G111">
        <v>3</v>
      </c>
      <c r="H111" t="s">
        <v>14</v>
      </c>
      <c r="I111">
        <v>15681</v>
      </c>
      <c r="J111" t="str">
        <f t="shared" si="5"/>
        <v>NEUROLOGY</v>
      </c>
      <c r="K111" t="str">
        <f t="shared" si="6"/>
        <v>NO</v>
      </c>
      <c r="L111">
        <f t="shared" si="7"/>
        <v>3</v>
      </c>
      <c r="M111" t="str">
        <f t="shared" si="8"/>
        <v>Match</v>
      </c>
      <c r="N111">
        <f>_xlfn.XLOOKUP(UPPER(TRIM(SUBSTITUTE(J111,CHAR(160)," "))),Departments!A:A,Departments!C:C,"")</f>
        <v>7</v>
      </c>
      <c r="O111" t="str">
        <f t="shared" si="9"/>
        <v>Within Target</v>
      </c>
    </row>
    <row r="112" spans="1:15" x14ac:dyDescent="0.2">
      <c r="A112">
        <v>2111</v>
      </c>
      <c r="B112">
        <v>64</v>
      </c>
      <c r="C112" t="s">
        <v>9</v>
      </c>
      <c r="D112" t="s">
        <v>26</v>
      </c>
      <c r="E112" s="2">
        <v>45292</v>
      </c>
      <c r="F112" s="2">
        <v>45294</v>
      </c>
      <c r="G112">
        <v>2</v>
      </c>
      <c r="H112" t="s">
        <v>11</v>
      </c>
      <c r="I112">
        <v>9933</v>
      </c>
      <c r="J112" t="str">
        <f t="shared" si="5"/>
        <v>ORTHOPEDICS</v>
      </c>
      <c r="K112" t="str">
        <f t="shared" si="6"/>
        <v>YES</v>
      </c>
      <c r="L112">
        <f t="shared" si="7"/>
        <v>2</v>
      </c>
      <c r="M112" t="str">
        <f t="shared" si="8"/>
        <v>Match</v>
      </c>
      <c r="N112">
        <f>_xlfn.XLOOKUP(UPPER(TRIM(SUBSTITUTE(J112,CHAR(160)," "))),Departments!A:A,Departments!C:C,"")</f>
        <v>6</v>
      </c>
      <c r="O112" t="str">
        <f t="shared" si="9"/>
        <v>Within Target</v>
      </c>
    </row>
    <row r="113" spans="1:15" x14ac:dyDescent="0.2">
      <c r="A113">
        <v>2112</v>
      </c>
      <c r="B113">
        <v>79</v>
      </c>
      <c r="C113" t="s">
        <v>9</v>
      </c>
      <c r="D113" t="s">
        <v>17</v>
      </c>
      <c r="E113" s="2">
        <v>45344</v>
      </c>
      <c r="F113" s="2">
        <v>45349</v>
      </c>
      <c r="G113">
        <v>5</v>
      </c>
      <c r="H113" t="s">
        <v>14</v>
      </c>
      <c r="I113">
        <v>18216</v>
      </c>
      <c r="J113" t="str">
        <f t="shared" si="5"/>
        <v>ORTHOPEDICS</v>
      </c>
      <c r="K113" t="str">
        <f t="shared" si="6"/>
        <v>NO</v>
      </c>
      <c r="L113">
        <f t="shared" si="7"/>
        <v>5</v>
      </c>
      <c r="M113" t="str">
        <f t="shared" si="8"/>
        <v>Match</v>
      </c>
      <c r="N113">
        <f>_xlfn.XLOOKUP(UPPER(TRIM(SUBSTITUTE(J113,CHAR(160)," "))),Departments!A:A,Departments!C:C,"")</f>
        <v>6</v>
      </c>
      <c r="O113" t="str">
        <f t="shared" si="9"/>
        <v>Within Target</v>
      </c>
    </row>
    <row r="114" spans="1:15" x14ac:dyDescent="0.2">
      <c r="A114">
        <v>2113</v>
      </c>
      <c r="B114">
        <v>39</v>
      </c>
      <c r="C114" t="s">
        <v>9</v>
      </c>
      <c r="D114" t="s">
        <v>16</v>
      </c>
      <c r="E114" s="2">
        <v>45353</v>
      </c>
      <c r="F114" s="2">
        <v>45358</v>
      </c>
      <c r="G114">
        <v>5</v>
      </c>
      <c r="H114" t="s">
        <v>11</v>
      </c>
      <c r="I114">
        <v>13696</v>
      </c>
      <c r="J114" t="str">
        <f t="shared" si="5"/>
        <v>PEDIATRICS</v>
      </c>
      <c r="K114" t="str">
        <f t="shared" si="6"/>
        <v>YES</v>
      </c>
      <c r="L114">
        <f t="shared" si="7"/>
        <v>5</v>
      </c>
      <c r="M114" t="str">
        <f t="shared" si="8"/>
        <v>Match</v>
      </c>
      <c r="N114">
        <f>_xlfn.XLOOKUP(UPPER(TRIM(SUBSTITUTE(J114,CHAR(160)," "))),Departments!A:A,Departments!C:C,"")</f>
        <v>3</v>
      </c>
      <c r="O114" t="str">
        <f t="shared" si="9"/>
        <v>Above Target</v>
      </c>
    </row>
    <row r="115" spans="1:15" x14ac:dyDescent="0.2">
      <c r="A115">
        <v>2114</v>
      </c>
      <c r="B115">
        <v>14</v>
      </c>
      <c r="C115" t="s">
        <v>12</v>
      </c>
      <c r="D115" t="s">
        <v>17</v>
      </c>
      <c r="E115" s="2">
        <v>45374</v>
      </c>
      <c r="F115" s="2">
        <v>45376</v>
      </c>
      <c r="G115">
        <v>2</v>
      </c>
      <c r="H115" t="s">
        <v>14</v>
      </c>
      <c r="I115">
        <v>11535</v>
      </c>
      <c r="J115" t="str">
        <f t="shared" si="5"/>
        <v>ORTHOPEDICS</v>
      </c>
      <c r="K115" t="str">
        <f t="shared" si="6"/>
        <v>NO</v>
      </c>
      <c r="L115">
        <f t="shared" si="7"/>
        <v>2</v>
      </c>
      <c r="M115" t="str">
        <f t="shared" si="8"/>
        <v>Match</v>
      </c>
      <c r="N115">
        <f>_xlfn.XLOOKUP(UPPER(TRIM(SUBSTITUTE(J115,CHAR(160)," "))),Departments!A:A,Departments!C:C,"")</f>
        <v>6</v>
      </c>
      <c r="O115" t="str">
        <f t="shared" si="9"/>
        <v>Within Target</v>
      </c>
    </row>
    <row r="116" spans="1:15" x14ac:dyDescent="0.2">
      <c r="A116">
        <v>2115</v>
      </c>
      <c r="B116">
        <v>67</v>
      </c>
      <c r="C116" t="s">
        <v>12</v>
      </c>
      <c r="D116" t="s">
        <v>20</v>
      </c>
      <c r="E116" s="2">
        <v>45374</v>
      </c>
      <c r="F116" s="2">
        <v>45380</v>
      </c>
      <c r="G116">
        <v>6</v>
      </c>
      <c r="H116" t="s">
        <v>11</v>
      </c>
      <c r="I116">
        <v>19365</v>
      </c>
      <c r="J116" t="str">
        <f t="shared" si="5"/>
        <v>NEUROLOGY</v>
      </c>
      <c r="K116" t="str">
        <f t="shared" si="6"/>
        <v>YES</v>
      </c>
      <c r="L116">
        <f t="shared" si="7"/>
        <v>6</v>
      </c>
      <c r="M116" t="str">
        <f t="shared" si="8"/>
        <v>Match</v>
      </c>
      <c r="N116">
        <f>_xlfn.XLOOKUP(UPPER(TRIM(SUBSTITUTE(J116,CHAR(160)," "))),Departments!A:A,Departments!C:C,"")</f>
        <v>7</v>
      </c>
      <c r="O116" t="str">
        <f t="shared" si="9"/>
        <v>Within Target</v>
      </c>
    </row>
    <row r="117" spans="1:15" x14ac:dyDescent="0.2">
      <c r="A117">
        <v>2116</v>
      </c>
      <c r="B117">
        <v>21</v>
      </c>
      <c r="C117" t="s">
        <v>12</v>
      </c>
      <c r="D117" t="s">
        <v>17</v>
      </c>
      <c r="E117" s="2">
        <v>45341</v>
      </c>
      <c r="F117" s="2">
        <v>45348</v>
      </c>
      <c r="G117">
        <v>7</v>
      </c>
      <c r="H117" t="s">
        <v>14</v>
      </c>
      <c r="I117">
        <v>20797</v>
      </c>
      <c r="J117" t="str">
        <f t="shared" si="5"/>
        <v>ORTHOPEDICS</v>
      </c>
      <c r="K117" t="str">
        <f t="shared" si="6"/>
        <v>NO</v>
      </c>
      <c r="L117">
        <f t="shared" si="7"/>
        <v>7</v>
      </c>
      <c r="M117" t="str">
        <f t="shared" si="8"/>
        <v>Match</v>
      </c>
      <c r="N117">
        <f>_xlfn.XLOOKUP(UPPER(TRIM(SUBSTITUTE(J117,CHAR(160)," "))),Departments!A:A,Departments!C:C,"")</f>
        <v>6</v>
      </c>
      <c r="O117" t="str">
        <f t="shared" si="9"/>
        <v>Above Target</v>
      </c>
    </row>
    <row r="118" spans="1:15" x14ac:dyDescent="0.2">
      <c r="A118">
        <v>2117</v>
      </c>
      <c r="B118">
        <v>69</v>
      </c>
      <c r="C118" t="s">
        <v>12</v>
      </c>
      <c r="D118" t="s">
        <v>15</v>
      </c>
      <c r="E118" s="2">
        <v>45359</v>
      </c>
      <c r="F118" s="2">
        <v>45362</v>
      </c>
      <c r="G118">
        <v>3</v>
      </c>
      <c r="H118" t="s">
        <v>11</v>
      </c>
      <c r="I118">
        <v>5457</v>
      </c>
      <c r="J118" t="str">
        <f t="shared" si="5"/>
        <v>ER</v>
      </c>
      <c r="K118" t="str">
        <f t="shared" si="6"/>
        <v>YES</v>
      </c>
      <c r="L118">
        <f t="shared" si="7"/>
        <v>3</v>
      </c>
      <c r="M118" t="str">
        <f t="shared" si="8"/>
        <v>Match</v>
      </c>
      <c r="N118">
        <f>_xlfn.XLOOKUP(UPPER(TRIM(SUBSTITUTE(J118,CHAR(160)," "))),Departments!A:A,Departments!C:C,"")</f>
        <v>2</v>
      </c>
      <c r="O118" t="str">
        <f t="shared" si="9"/>
        <v>Above Target</v>
      </c>
    </row>
    <row r="119" spans="1:15" x14ac:dyDescent="0.2">
      <c r="A119">
        <v>2118</v>
      </c>
      <c r="B119">
        <v>51</v>
      </c>
      <c r="C119" t="s">
        <v>9</v>
      </c>
      <c r="D119" t="s">
        <v>22</v>
      </c>
      <c r="E119" s="2">
        <v>45313</v>
      </c>
      <c r="F119" s="2">
        <v>45317</v>
      </c>
      <c r="G119">
        <v>4</v>
      </c>
      <c r="H119" t="s">
        <v>11</v>
      </c>
      <c r="I119">
        <v>13434</v>
      </c>
      <c r="J119" t="str">
        <f t="shared" si="5"/>
        <v>ONCOLOGY</v>
      </c>
      <c r="K119" t="str">
        <f t="shared" si="6"/>
        <v>YES</v>
      </c>
      <c r="L119">
        <f t="shared" si="7"/>
        <v>4</v>
      </c>
      <c r="M119" t="str">
        <f t="shared" si="8"/>
        <v>Match</v>
      </c>
      <c r="N119">
        <f>_xlfn.XLOOKUP(UPPER(TRIM(SUBSTITUTE(J119,CHAR(160)," "))),Departments!A:A,Departments!C:C,"")</f>
        <v>6</v>
      </c>
      <c r="O119" t="str">
        <f t="shared" si="9"/>
        <v>Within Target</v>
      </c>
    </row>
    <row r="120" spans="1:15" x14ac:dyDescent="0.2">
      <c r="A120">
        <v>2119</v>
      </c>
      <c r="B120">
        <v>4</v>
      </c>
      <c r="C120" t="s">
        <v>9</v>
      </c>
      <c r="D120" t="s">
        <v>17</v>
      </c>
      <c r="E120" s="2">
        <v>45380</v>
      </c>
      <c r="F120" s="2">
        <v>45392</v>
      </c>
      <c r="G120">
        <v>12</v>
      </c>
      <c r="H120" t="s">
        <v>14</v>
      </c>
      <c r="I120">
        <v>21164</v>
      </c>
      <c r="J120" t="str">
        <f t="shared" si="5"/>
        <v>ORTHOPEDICS</v>
      </c>
      <c r="K120" t="str">
        <f t="shared" si="6"/>
        <v>NO</v>
      </c>
      <c r="L120">
        <f t="shared" si="7"/>
        <v>12</v>
      </c>
      <c r="M120" t="str">
        <f t="shared" si="8"/>
        <v>Match</v>
      </c>
      <c r="N120">
        <f>_xlfn.XLOOKUP(UPPER(TRIM(SUBSTITUTE(J120,CHAR(160)," "))),Departments!A:A,Departments!C:C,"")</f>
        <v>6</v>
      </c>
      <c r="O120" t="str">
        <f t="shared" si="9"/>
        <v>Above Target</v>
      </c>
    </row>
    <row r="121" spans="1:15" x14ac:dyDescent="0.2">
      <c r="A121">
        <v>2120</v>
      </c>
      <c r="B121">
        <v>69</v>
      </c>
      <c r="C121" t="s">
        <v>9</v>
      </c>
      <c r="D121" t="s">
        <v>16</v>
      </c>
      <c r="E121" s="2">
        <v>45341</v>
      </c>
      <c r="F121" s="2">
        <v>45342</v>
      </c>
      <c r="G121">
        <v>1</v>
      </c>
      <c r="H121" t="s">
        <v>14</v>
      </c>
      <c r="J121" t="str">
        <f t="shared" si="5"/>
        <v>PEDIATRICS</v>
      </c>
      <c r="K121" t="str">
        <f t="shared" si="6"/>
        <v>NO</v>
      </c>
      <c r="L121">
        <f t="shared" si="7"/>
        <v>1</v>
      </c>
      <c r="M121" t="str">
        <f t="shared" si="8"/>
        <v>Match</v>
      </c>
      <c r="N121">
        <f>_xlfn.XLOOKUP(UPPER(TRIM(SUBSTITUTE(J121,CHAR(160)," "))),Departments!A:A,Departments!C:C,"")</f>
        <v>3</v>
      </c>
      <c r="O121" t="str">
        <f t="shared" si="9"/>
        <v>Within Target</v>
      </c>
    </row>
    <row r="122" spans="1:15" x14ac:dyDescent="0.2">
      <c r="A122">
        <v>2121</v>
      </c>
      <c r="B122">
        <v>12</v>
      </c>
      <c r="C122" t="s">
        <v>12</v>
      </c>
      <c r="D122" t="s">
        <v>15</v>
      </c>
      <c r="E122" s="2">
        <v>45304</v>
      </c>
      <c r="F122" s="2">
        <v>45305</v>
      </c>
      <c r="H122" t="s">
        <v>11</v>
      </c>
      <c r="I122">
        <v>3622</v>
      </c>
      <c r="J122" t="str">
        <f t="shared" si="5"/>
        <v>ER</v>
      </c>
      <c r="K122" t="str">
        <f t="shared" si="6"/>
        <v>YES</v>
      </c>
      <c r="L122">
        <f t="shared" si="7"/>
        <v>1</v>
      </c>
      <c r="M122" t="str">
        <f t="shared" si="8"/>
        <v/>
      </c>
      <c r="N122">
        <f>_xlfn.XLOOKUP(UPPER(TRIM(SUBSTITUTE(J122,CHAR(160)," "))),Departments!A:A,Departments!C:C,"")</f>
        <v>2</v>
      </c>
      <c r="O122" t="str">
        <f t="shared" si="9"/>
        <v>Within Target</v>
      </c>
    </row>
    <row r="123" spans="1:15" x14ac:dyDescent="0.2">
      <c r="A123">
        <v>2122</v>
      </c>
      <c r="B123">
        <v>37</v>
      </c>
      <c r="C123" t="s">
        <v>9</v>
      </c>
      <c r="D123" t="s">
        <v>16</v>
      </c>
      <c r="E123" s="2">
        <v>45339</v>
      </c>
      <c r="F123" s="2">
        <v>45342</v>
      </c>
      <c r="G123">
        <v>3</v>
      </c>
      <c r="H123" t="s">
        <v>14</v>
      </c>
      <c r="I123">
        <v>10627</v>
      </c>
      <c r="J123" t="str">
        <f t="shared" si="5"/>
        <v>PEDIATRICS</v>
      </c>
      <c r="K123" t="str">
        <f t="shared" si="6"/>
        <v>NO</v>
      </c>
      <c r="L123">
        <f t="shared" si="7"/>
        <v>3</v>
      </c>
      <c r="M123" t="str">
        <f t="shared" si="8"/>
        <v>Match</v>
      </c>
      <c r="N123">
        <f>_xlfn.XLOOKUP(UPPER(TRIM(SUBSTITUTE(J123,CHAR(160)," "))),Departments!A:A,Departments!C:C,"")</f>
        <v>3</v>
      </c>
      <c r="O123" t="str">
        <f t="shared" si="9"/>
        <v>Within Target</v>
      </c>
    </row>
    <row r="124" spans="1:15" x14ac:dyDescent="0.2">
      <c r="A124">
        <v>2123</v>
      </c>
      <c r="B124">
        <v>4</v>
      </c>
      <c r="C124" t="s">
        <v>12</v>
      </c>
      <c r="D124" t="s">
        <v>22</v>
      </c>
      <c r="E124" s="2">
        <v>45304</v>
      </c>
      <c r="F124" s="2">
        <v>45311</v>
      </c>
      <c r="G124">
        <v>7</v>
      </c>
      <c r="H124" t="s">
        <v>14</v>
      </c>
      <c r="I124">
        <v>16787</v>
      </c>
      <c r="J124" t="str">
        <f t="shared" si="5"/>
        <v>ONCOLOGY</v>
      </c>
      <c r="K124" t="str">
        <f t="shared" si="6"/>
        <v>NO</v>
      </c>
      <c r="L124">
        <f t="shared" si="7"/>
        <v>7</v>
      </c>
      <c r="M124" t="str">
        <f t="shared" si="8"/>
        <v>Match</v>
      </c>
      <c r="N124">
        <f>_xlfn.XLOOKUP(UPPER(TRIM(SUBSTITUTE(J124,CHAR(160)," "))),Departments!A:A,Departments!C:C,"")</f>
        <v>6</v>
      </c>
      <c r="O124" t="str">
        <f t="shared" si="9"/>
        <v>Above Target</v>
      </c>
    </row>
    <row r="125" spans="1:15" x14ac:dyDescent="0.2">
      <c r="A125">
        <v>2124</v>
      </c>
      <c r="B125">
        <v>37</v>
      </c>
      <c r="C125" t="s">
        <v>9</v>
      </c>
      <c r="D125" t="s">
        <v>15</v>
      </c>
      <c r="E125" s="2">
        <v>45292</v>
      </c>
      <c r="F125" s="2">
        <v>45294</v>
      </c>
      <c r="G125">
        <v>2</v>
      </c>
      <c r="H125" t="s">
        <v>14</v>
      </c>
      <c r="I125">
        <v>3728</v>
      </c>
      <c r="J125" t="str">
        <f t="shared" si="5"/>
        <v>ER</v>
      </c>
      <c r="K125" t="str">
        <f t="shared" si="6"/>
        <v>NO</v>
      </c>
      <c r="L125">
        <f t="shared" si="7"/>
        <v>2</v>
      </c>
      <c r="M125" t="str">
        <f t="shared" si="8"/>
        <v>Match</v>
      </c>
      <c r="N125">
        <f>_xlfn.XLOOKUP(UPPER(TRIM(SUBSTITUTE(J125,CHAR(160)," "))),Departments!A:A,Departments!C:C,"")</f>
        <v>2</v>
      </c>
      <c r="O125" t="str">
        <f t="shared" si="9"/>
        <v>Within Target</v>
      </c>
    </row>
    <row r="126" spans="1:15" x14ac:dyDescent="0.2">
      <c r="A126">
        <v>2125</v>
      </c>
      <c r="B126">
        <v>64</v>
      </c>
      <c r="C126" t="s">
        <v>12</v>
      </c>
      <c r="D126" t="s">
        <v>29</v>
      </c>
      <c r="E126" s="2">
        <v>45325</v>
      </c>
      <c r="F126" s="2">
        <v>45336</v>
      </c>
      <c r="G126">
        <v>11</v>
      </c>
      <c r="H126" t="s">
        <v>14</v>
      </c>
      <c r="I126">
        <v>26660</v>
      </c>
      <c r="J126" t="str">
        <f t="shared" si="5"/>
        <v>ONCOLOGY</v>
      </c>
      <c r="K126" t="str">
        <f t="shared" si="6"/>
        <v>NO</v>
      </c>
      <c r="L126">
        <f t="shared" si="7"/>
        <v>11</v>
      </c>
      <c r="M126" t="str">
        <f t="shared" si="8"/>
        <v>Match</v>
      </c>
      <c r="N126">
        <f>_xlfn.XLOOKUP(UPPER(TRIM(SUBSTITUTE(J126,CHAR(160)," "))),Departments!A:A,Departments!C:C,"")</f>
        <v>6</v>
      </c>
      <c r="O126" t="str">
        <f t="shared" si="9"/>
        <v>Above Target</v>
      </c>
    </row>
    <row r="127" spans="1:15" x14ac:dyDescent="0.2">
      <c r="A127">
        <v>2126</v>
      </c>
      <c r="B127">
        <v>82</v>
      </c>
      <c r="C127" t="s">
        <v>9</v>
      </c>
      <c r="D127" t="s">
        <v>15</v>
      </c>
      <c r="E127" s="2">
        <v>45381</v>
      </c>
      <c r="F127" s="2">
        <v>45383</v>
      </c>
      <c r="G127">
        <v>2</v>
      </c>
      <c r="H127" t="s">
        <v>14</v>
      </c>
      <c r="I127">
        <v>6740</v>
      </c>
      <c r="J127" t="str">
        <f t="shared" si="5"/>
        <v>ER</v>
      </c>
      <c r="K127" t="str">
        <f t="shared" si="6"/>
        <v>NO</v>
      </c>
      <c r="L127">
        <f t="shared" si="7"/>
        <v>2</v>
      </c>
      <c r="M127" t="str">
        <f t="shared" si="8"/>
        <v>Match</v>
      </c>
      <c r="N127">
        <f>_xlfn.XLOOKUP(UPPER(TRIM(SUBSTITUTE(J127,CHAR(160)," "))),Departments!A:A,Departments!C:C,"")</f>
        <v>2</v>
      </c>
      <c r="O127" t="str">
        <f t="shared" si="9"/>
        <v>Within Target</v>
      </c>
    </row>
    <row r="128" spans="1:15" x14ac:dyDescent="0.2">
      <c r="A128">
        <v>2127</v>
      </c>
      <c r="B128">
        <v>12</v>
      </c>
      <c r="C128" t="s">
        <v>12</v>
      </c>
      <c r="D128" t="s">
        <v>16</v>
      </c>
      <c r="E128" s="2">
        <v>45295</v>
      </c>
      <c r="F128" s="2">
        <v>45298</v>
      </c>
      <c r="G128">
        <v>3</v>
      </c>
      <c r="H128" t="s">
        <v>14</v>
      </c>
      <c r="I128">
        <v>8393</v>
      </c>
      <c r="J128" t="str">
        <f t="shared" si="5"/>
        <v>PEDIATRICS</v>
      </c>
      <c r="K128" t="str">
        <f t="shared" si="6"/>
        <v>NO</v>
      </c>
      <c r="L128">
        <f t="shared" si="7"/>
        <v>3</v>
      </c>
      <c r="M128" t="str">
        <f t="shared" si="8"/>
        <v>Match</v>
      </c>
      <c r="N128">
        <f>_xlfn.XLOOKUP(UPPER(TRIM(SUBSTITUTE(J128,CHAR(160)," "))),Departments!A:A,Departments!C:C,"")</f>
        <v>3</v>
      </c>
      <c r="O128" t="str">
        <f t="shared" si="9"/>
        <v>Within Target</v>
      </c>
    </row>
    <row r="129" spans="1:15" x14ac:dyDescent="0.2">
      <c r="A129">
        <v>2128</v>
      </c>
      <c r="B129">
        <v>30</v>
      </c>
      <c r="C129" t="s">
        <v>12</v>
      </c>
      <c r="D129" t="s">
        <v>17</v>
      </c>
      <c r="E129" s="2">
        <v>45360</v>
      </c>
      <c r="F129" s="2">
        <v>45371</v>
      </c>
      <c r="G129">
        <v>11</v>
      </c>
      <c r="H129" t="s">
        <v>14</v>
      </c>
      <c r="J129" t="str">
        <f t="shared" si="5"/>
        <v>ORTHOPEDICS</v>
      </c>
      <c r="K129" t="str">
        <f t="shared" si="6"/>
        <v>NO</v>
      </c>
      <c r="L129">
        <f t="shared" si="7"/>
        <v>11</v>
      </c>
      <c r="M129" t="str">
        <f t="shared" si="8"/>
        <v>Match</v>
      </c>
      <c r="N129">
        <f>_xlfn.XLOOKUP(UPPER(TRIM(SUBSTITUTE(J129,CHAR(160)," "))),Departments!A:A,Departments!C:C,"")</f>
        <v>6</v>
      </c>
      <c r="O129" t="str">
        <f t="shared" si="9"/>
        <v>Above Target</v>
      </c>
    </row>
    <row r="130" spans="1:15" x14ac:dyDescent="0.2">
      <c r="A130">
        <v>2129</v>
      </c>
      <c r="B130">
        <v>58</v>
      </c>
      <c r="C130" t="s">
        <v>12</v>
      </c>
      <c r="D130" t="s">
        <v>17</v>
      </c>
      <c r="E130" s="2">
        <v>45351</v>
      </c>
      <c r="F130" s="2">
        <v>45360</v>
      </c>
      <c r="G130">
        <v>9</v>
      </c>
      <c r="H130" t="s">
        <v>14</v>
      </c>
      <c r="I130">
        <v>21220</v>
      </c>
      <c r="J130" t="str">
        <f t="shared" ref="J130:J193" si="10">UPPER((SUBSTITUTE(D130,CHAR(160)," ")))</f>
        <v>ORTHOPEDICS</v>
      </c>
      <c r="K130" t="str">
        <f t="shared" ref="K130:K193" si="11">UPPER(TRIM(H130))</f>
        <v>NO</v>
      </c>
      <c r="L130">
        <f t="shared" si="7"/>
        <v>9</v>
      </c>
      <c r="M130" t="str">
        <f t="shared" si="8"/>
        <v>Match</v>
      </c>
      <c r="N130">
        <f>_xlfn.XLOOKUP(UPPER(TRIM(SUBSTITUTE(J130,CHAR(160)," "))),Departments!A:A,Departments!C:C,"")</f>
        <v>6</v>
      </c>
      <c r="O130" t="str">
        <f t="shared" si="9"/>
        <v>Above Target</v>
      </c>
    </row>
    <row r="131" spans="1:15" x14ac:dyDescent="0.2">
      <c r="A131">
        <v>2130</v>
      </c>
      <c r="B131">
        <v>65</v>
      </c>
      <c r="C131" t="s">
        <v>9</v>
      </c>
      <c r="D131" t="s">
        <v>20</v>
      </c>
      <c r="E131" s="2">
        <v>45330</v>
      </c>
      <c r="F131" s="2">
        <v>45344</v>
      </c>
      <c r="G131">
        <v>14</v>
      </c>
      <c r="H131" t="s">
        <v>14</v>
      </c>
      <c r="I131">
        <v>38312</v>
      </c>
      <c r="J131" t="str">
        <f t="shared" si="10"/>
        <v>NEUROLOGY</v>
      </c>
      <c r="K131" t="str">
        <f t="shared" si="11"/>
        <v>NO</v>
      </c>
      <c r="L131">
        <f t="shared" ref="L131:L194" si="12">IF(OR(E131="",F131=""),"",F131-E131)</f>
        <v>14</v>
      </c>
      <c r="M131" t="str">
        <f t="shared" ref="M131:M194" si="13">IF(OR(G131="",L131=""),"",IF(G131=L131,"Match","Mismatch"))</f>
        <v>Match</v>
      </c>
      <c r="N131">
        <f>_xlfn.XLOOKUP(UPPER(TRIM(SUBSTITUTE(J131,CHAR(160)," "))),Departments!A:A,Departments!C:C,"")</f>
        <v>7</v>
      </c>
      <c r="O131" t="str">
        <f t="shared" ref="O131:O194" si="14">IF(OR(L131="",N131=""),"",IF(L131&gt;N131,"Above Target","Within Target"))</f>
        <v>Above Target</v>
      </c>
    </row>
    <row r="132" spans="1:15" x14ac:dyDescent="0.2">
      <c r="A132">
        <v>2131</v>
      </c>
      <c r="B132">
        <v>45</v>
      </c>
      <c r="C132" t="s">
        <v>9</v>
      </c>
      <c r="D132" t="s">
        <v>17</v>
      </c>
      <c r="E132" s="2">
        <v>45333</v>
      </c>
      <c r="F132" s="2">
        <v>45338</v>
      </c>
      <c r="G132">
        <v>5</v>
      </c>
      <c r="H132" t="s">
        <v>14</v>
      </c>
      <c r="I132">
        <v>13077</v>
      </c>
      <c r="J132" t="str">
        <f t="shared" si="10"/>
        <v>ORTHOPEDICS</v>
      </c>
      <c r="K132" t="str">
        <f t="shared" si="11"/>
        <v>NO</v>
      </c>
      <c r="L132">
        <f t="shared" si="12"/>
        <v>5</v>
      </c>
      <c r="M132" t="str">
        <f t="shared" si="13"/>
        <v>Match</v>
      </c>
      <c r="N132">
        <f>_xlfn.XLOOKUP(UPPER(TRIM(SUBSTITUTE(J132,CHAR(160)," "))),Departments!A:A,Departments!C:C,"")</f>
        <v>6</v>
      </c>
      <c r="O132" t="str">
        <f t="shared" si="14"/>
        <v>Within Target</v>
      </c>
    </row>
    <row r="133" spans="1:15" x14ac:dyDescent="0.2">
      <c r="A133">
        <v>2132</v>
      </c>
      <c r="B133">
        <v>39</v>
      </c>
      <c r="C133" t="s">
        <v>12</v>
      </c>
      <c r="D133" t="s">
        <v>15</v>
      </c>
      <c r="E133" s="2">
        <v>45327</v>
      </c>
      <c r="F133" s="2">
        <v>45328</v>
      </c>
      <c r="G133">
        <v>1</v>
      </c>
      <c r="H133" t="s">
        <v>11</v>
      </c>
      <c r="I133">
        <v>3393</v>
      </c>
      <c r="J133" t="str">
        <f t="shared" si="10"/>
        <v>ER</v>
      </c>
      <c r="K133" t="str">
        <f t="shared" si="11"/>
        <v>YES</v>
      </c>
      <c r="L133">
        <f t="shared" si="12"/>
        <v>1</v>
      </c>
      <c r="M133" t="str">
        <f t="shared" si="13"/>
        <v>Match</v>
      </c>
      <c r="N133">
        <f>_xlfn.XLOOKUP(UPPER(TRIM(SUBSTITUTE(J133,CHAR(160)," "))),Departments!A:A,Departments!C:C,"")</f>
        <v>2</v>
      </c>
      <c r="O133" t="str">
        <f t="shared" si="14"/>
        <v>Within Target</v>
      </c>
    </row>
    <row r="134" spans="1:15" x14ac:dyDescent="0.2">
      <c r="A134">
        <v>2133</v>
      </c>
      <c r="B134">
        <v>56</v>
      </c>
      <c r="C134" t="s">
        <v>9</v>
      </c>
      <c r="D134" t="s">
        <v>22</v>
      </c>
      <c r="E134" s="2">
        <v>45372</v>
      </c>
      <c r="F134" s="2">
        <v>45378</v>
      </c>
      <c r="G134">
        <v>6</v>
      </c>
      <c r="H134" t="s">
        <v>14</v>
      </c>
      <c r="I134">
        <v>16366</v>
      </c>
      <c r="J134" t="str">
        <f t="shared" si="10"/>
        <v>ONCOLOGY</v>
      </c>
      <c r="K134" t="str">
        <f t="shared" si="11"/>
        <v>NO</v>
      </c>
      <c r="L134">
        <f t="shared" si="12"/>
        <v>6</v>
      </c>
      <c r="M134" t="str">
        <f t="shared" si="13"/>
        <v>Match</v>
      </c>
      <c r="N134">
        <f>_xlfn.XLOOKUP(UPPER(TRIM(SUBSTITUTE(J134,CHAR(160)," "))),Departments!A:A,Departments!C:C,"")</f>
        <v>6</v>
      </c>
      <c r="O134" t="str">
        <f t="shared" si="14"/>
        <v>Within Target</v>
      </c>
    </row>
    <row r="135" spans="1:15" x14ac:dyDescent="0.2">
      <c r="A135">
        <v>2134</v>
      </c>
      <c r="B135">
        <v>56</v>
      </c>
      <c r="C135" t="s">
        <v>12</v>
      </c>
      <c r="D135" t="s">
        <v>17</v>
      </c>
      <c r="E135" s="2">
        <v>45377</v>
      </c>
      <c r="F135" s="2">
        <v>45389</v>
      </c>
      <c r="G135">
        <v>12</v>
      </c>
      <c r="H135" t="s">
        <v>14</v>
      </c>
      <c r="I135">
        <v>34085</v>
      </c>
      <c r="J135" t="str">
        <f t="shared" si="10"/>
        <v>ORTHOPEDICS</v>
      </c>
      <c r="K135" t="str">
        <f t="shared" si="11"/>
        <v>NO</v>
      </c>
      <c r="L135">
        <f t="shared" si="12"/>
        <v>12</v>
      </c>
      <c r="M135" t="str">
        <f t="shared" si="13"/>
        <v>Match</v>
      </c>
      <c r="N135">
        <f>_xlfn.XLOOKUP(UPPER(TRIM(SUBSTITUTE(J135,CHAR(160)," "))),Departments!A:A,Departments!C:C,"")</f>
        <v>6</v>
      </c>
      <c r="O135" t="str">
        <f t="shared" si="14"/>
        <v>Above Target</v>
      </c>
    </row>
    <row r="136" spans="1:15" x14ac:dyDescent="0.2">
      <c r="A136">
        <v>2135</v>
      </c>
      <c r="B136">
        <v>34</v>
      </c>
      <c r="C136" t="s">
        <v>9</v>
      </c>
      <c r="D136" t="s">
        <v>15</v>
      </c>
      <c r="E136" s="2">
        <v>45323</v>
      </c>
      <c r="F136" s="2">
        <v>45325</v>
      </c>
      <c r="G136">
        <v>2</v>
      </c>
      <c r="H136" t="s">
        <v>14</v>
      </c>
      <c r="I136">
        <v>6398</v>
      </c>
      <c r="J136" t="str">
        <f t="shared" si="10"/>
        <v>ER</v>
      </c>
      <c r="K136" t="str">
        <f t="shared" si="11"/>
        <v>NO</v>
      </c>
      <c r="L136">
        <f t="shared" si="12"/>
        <v>2</v>
      </c>
      <c r="M136" t="str">
        <f t="shared" si="13"/>
        <v>Match</v>
      </c>
      <c r="N136">
        <f>_xlfn.XLOOKUP(UPPER(TRIM(SUBSTITUTE(J136,CHAR(160)," "))),Departments!A:A,Departments!C:C,"")</f>
        <v>2</v>
      </c>
      <c r="O136" t="str">
        <f t="shared" si="14"/>
        <v>Within Target</v>
      </c>
    </row>
    <row r="137" spans="1:15" x14ac:dyDescent="0.2">
      <c r="A137">
        <v>2136</v>
      </c>
      <c r="B137">
        <v>53</v>
      </c>
      <c r="C137" t="s">
        <v>9</v>
      </c>
      <c r="D137" t="s">
        <v>16</v>
      </c>
      <c r="E137" s="2">
        <v>45333</v>
      </c>
      <c r="F137" s="2">
        <v>45334</v>
      </c>
      <c r="G137">
        <v>1</v>
      </c>
      <c r="H137" t="s">
        <v>14</v>
      </c>
      <c r="I137">
        <v>6962</v>
      </c>
      <c r="J137" t="str">
        <f t="shared" si="10"/>
        <v>PEDIATRICS</v>
      </c>
      <c r="K137" t="str">
        <f t="shared" si="11"/>
        <v>NO</v>
      </c>
      <c r="L137">
        <f t="shared" si="12"/>
        <v>1</v>
      </c>
      <c r="M137" t="str">
        <f t="shared" si="13"/>
        <v>Match</v>
      </c>
      <c r="N137">
        <f>_xlfn.XLOOKUP(UPPER(TRIM(SUBSTITUTE(J137,CHAR(160)," "))),Departments!A:A,Departments!C:C,"")</f>
        <v>3</v>
      </c>
      <c r="O137" t="str">
        <f t="shared" si="14"/>
        <v>Within Target</v>
      </c>
    </row>
    <row r="138" spans="1:15" x14ac:dyDescent="0.2">
      <c r="A138">
        <v>2137</v>
      </c>
      <c r="B138">
        <v>26</v>
      </c>
      <c r="C138" t="s">
        <v>12</v>
      </c>
      <c r="D138" t="s">
        <v>13</v>
      </c>
      <c r="E138" s="2">
        <v>45365</v>
      </c>
      <c r="F138" s="2">
        <v>45374</v>
      </c>
      <c r="G138">
        <v>9</v>
      </c>
      <c r="H138" t="s">
        <v>14</v>
      </c>
      <c r="J138" t="str">
        <f t="shared" si="10"/>
        <v>CARDIOLOGY</v>
      </c>
      <c r="K138" t="str">
        <f t="shared" si="11"/>
        <v>NO</v>
      </c>
      <c r="L138">
        <f t="shared" si="12"/>
        <v>9</v>
      </c>
      <c r="M138" t="str">
        <f t="shared" si="13"/>
        <v>Match</v>
      </c>
      <c r="N138">
        <f>_xlfn.XLOOKUP(UPPER(TRIM(SUBSTITUTE(J138,CHAR(160)," "))),Departments!A:A,Departments!C:C,"")</f>
        <v>5</v>
      </c>
      <c r="O138" t="str">
        <f t="shared" si="14"/>
        <v>Above Target</v>
      </c>
    </row>
    <row r="139" spans="1:15" x14ac:dyDescent="0.2">
      <c r="A139">
        <v>2138</v>
      </c>
      <c r="B139">
        <v>59</v>
      </c>
      <c r="C139" t="s">
        <v>9</v>
      </c>
      <c r="D139" t="s">
        <v>16</v>
      </c>
      <c r="E139" s="2">
        <v>45315</v>
      </c>
      <c r="F139" s="2">
        <v>45319</v>
      </c>
      <c r="G139">
        <v>4</v>
      </c>
      <c r="H139" t="s">
        <v>14</v>
      </c>
      <c r="I139">
        <v>9293</v>
      </c>
      <c r="J139" t="str">
        <f t="shared" si="10"/>
        <v>PEDIATRICS</v>
      </c>
      <c r="K139" t="str">
        <f t="shared" si="11"/>
        <v>NO</v>
      </c>
      <c r="L139">
        <f t="shared" si="12"/>
        <v>4</v>
      </c>
      <c r="M139" t="str">
        <f t="shared" si="13"/>
        <v>Match</v>
      </c>
      <c r="N139">
        <f>_xlfn.XLOOKUP(UPPER(TRIM(SUBSTITUTE(J139,CHAR(160)," "))),Departments!A:A,Departments!C:C,"")</f>
        <v>3</v>
      </c>
      <c r="O139" t="str">
        <f t="shared" si="14"/>
        <v>Above Target</v>
      </c>
    </row>
    <row r="140" spans="1:15" x14ac:dyDescent="0.2">
      <c r="A140">
        <v>2139</v>
      </c>
      <c r="B140">
        <v>52</v>
      </c>
      <c r="C140" t="s">
        <v>9</v>
      </c>
      <c r="D140" t="s">
        <v>13</v>
      </c>
      <c r="E140" s="2">
        <v>45301</v>
      </c>
      <c r="F140" s="2">
        <v>45309</v>
      </c>
      <c r="G140">
        <v>8</v>
      </c>
      <c r="H140" t="s">
        <v>14</v>
      </c>
      <c r="I140">
        <v>27126</v>
      </c>
      <c r="J140" t="str">
        <f t="shared" si="10"/>
        <v>CARDIOLOGY</v>
      </c>
      <c r="K140" t="str">
        <f t="shared" si="11"/>
        <v>NO</v>
      </c>
      <c r="L140">
        <f t="shared" si="12"/>
        <v>8</v>
      </c>
      <c r="M140" t="str">
        <f t="shared" si="13"/>
        <v>Match</v>
      </c>
      <c r="N140">
        <f>_xlfn.XLOOKUP(UPPER(TRIM(SUBSTITUTE(J140,CHAR(160)," "))),Departments!A:A,Departments!C:C,"")</f>
        <v>5</v>
      </c>
      <c r="O140" t="str">
        <f t="shared" si="14"/>
        <v>Above Target</v>
      </c>
    </row>
    <row r="141" spans="1:15" x14ac:dyDescent="0.2">
      <c r="A141">
        <v>2140</v>
      </c>
      <c r="B141">
        <v>52</v>
      </c>
      <c r="C141" t="s">
        <v>9</v>
      </c>
      <c r="D141" t="s">
        <v>15</v>
      </c>
      <c r="E141" s="2">
        <v>45351</v>
      </c>
      <c r="F141" s="2">
        <v>45352</v>
      </c>
      <c r="G141">
        <v>1</v>
      </c>
      <c r="H141" t="s">
        <v>14</v>
      </c>
      <c r="I141">
        <v>4399</v>
      </c>
      <c r="J141" t="str">
        <f t="shared" si="10"/>
        <v>ER</v>
      </c>
      <c r="K141" t="str">
        <f t="shared" si="11"/>
        <v>NO</v>
      </c>
      <c r="L141">
        <f t="shared" si="12"/>
        <v>1</v>
      </c>
      <c r="M141" t="str">
        <f t="shared" si="13"/>
        <v>Match</v>
      </c>
      <c r="N141">
        <f>_xlfn.XLOOKUP(UPPER(TRIM(SUBSTITUTE(J141,CHAR(160)," "))),Departments!A:A,Departments!C:C,"")</f>
        <v>2</v>
      </c>
      <c r="O141" t="str">
        <f t="shared" si="14"/>
        <v>Within Target</v>
      </c>
    </row>
    <row r="142" spans="1:15" x14ac:dyDescent="0.2">
      <c r="A142">
        <v>2141</v>
      </c>
      <c r="B142">
        <v>19</v>
      </c>
      <c r="C142" t="s">
        <v>12</v>
      </c>
      <c r="D142" t="s">
        <v>16</v>
      </c>
      <c r="E142" s="2">
        <v>45373</v>
      </c>
      <c r="F142" s="2">
        <v>45377</v>
      </c>
      <c r="G142">
        <v>4</v>
      </c>
      <c r="H142" t="s">
        <v>14</v>
      </c>
      <c r="I142">
        <v>10764</v>
      </c>
      <c r="J142" t="str">
        <f t="shared" si="10"/>
        <v>PEDIATRICS</v>
      </c>
      <c r="K142" t="str">
        <f t="shared" si="11"/>
        <v>NO</v>
      </c>
      <c r="L142">
        <f t="shared" si="12"/>
        <v>4</v>
      </c>
      <c r="M142" t="str">
        <f t="shared" si="13"/>
        <v>Match</v>
      </c>
      <c r="N142">
        <f>_xlfn.XLOOKUP(UPPER(TRIM(SUBSTITUTE(J142,CHAR(160)," "))),Departments!A:A,Departments!C:C,"")</f>
        <v>3</v>
      </c>
      <c r="O142" t="str">
        <f t="shared" si="14"/>
        <v>Above Target</v>
      </c>
    </row>
    <row r="143" spans="1:15" x14ac:dyDescent="0.2">
      <c r="A143">
        <v>2142</v>
      </c>
      <c r="B143">
        <v>30</v>
      </c>
      <c r="C143" t="s">
        <v>12</v>
      </c>
      <c r="D143" t="s">
        <v>16</v>
      </c>
      <c r="E143" s="2">
        <v>45340</v>
      </c>
      <c r="F143" s="2">
        <v>45343</v>
      </c>
      <c r="G143">
        <v>3</v>
      </c>
      <c r="H143" t="s">
        <v>14</v>
      </c>
      <c r="J143" t="str">
        <f t="shared" si="10"/>
        <v>PEDIATRICS</v>
      </c>
      <c r="K143" t="str">
        <f t="shared" si="11"/>
        <v>NO</v>
      </c>
      <c r="L143">
        <f t="shared" si="12"/>
        <v>3</v>
      </c>
      <c r="M143" t="str">
        <f t="shared" si="13"/>
        <v>Match</v>
      </c>
      <c r="N143">
        <f>_xlfn.XLOOKUP(UPPER(TRIM(SUBSTITUTE(J143,CHAR(160)," "))),Departments!A:A,Departments!C:C,"")</f>
        <v>3</v>
      </c>
      <c r="O143" t="str">
        <f t="shared" si="14"/>
        <v>Within Target</v>
      </c>
    </row>
    <row r="144" spans="1:15" x14ac:dyDescent="0.2">
      <c r="A144">
        <v>2143</v>
      </c>
      <c r="B144">
        <v>39</v>
      </c>
      <c r="C144" t="s">
        <v>12</v>
      </c>
      <c r="D144" t="s">
        <v>15</v>
      </c>
      <c r="E144" s="2">
        <v>45354</v>
      </c>
      <c r="F144" s="2">
        <v>45356</v>
      </c>
      <c r="G144">
        <v>2</v>
      </c>
      <c r="H144" t="s">
        <v>14</v>
      </c>
      <c r="I144">
        <v>5198</v>
      </c>
      <c r="J144" t="str">
        <f t="shared" si="10"/>
        <v>ER</v>
      </c>
      <c r="K144" t="str">
        <f t="shared" si="11"/>
        <v>NO</v>
      </c>
      <c r="L144">
        <f t="shared" si="12"/>
        <v>2</v>
      </c>
      <c r="M144" t="str">
        <f t="shared" si="13"/>
        <v>Match</v>
      </c>
      <c r="N144">
        <f>_xlfn.XLOOKUP(UPPER(TRIM(SUBSTITUTE(J144,CHAR(160)," "))),Departments!A:A,Departments!C:C,"")</f>
        <v>2</v>
      </c>
      <c r="O144" t="str">
        <f t="shared" si="14"/>
        <v>Within Target</v>
      </c>
    </row>
    <row r="145" spans="1:15" x14ac:dyDescent="0.2">
      <c r="A145">
        <v>2144</v>
      </c>
      <c r="B145">
        <v>11</v>
      </c>
      <c r="C145" t="s">
        <v>12</v>
      </c>
      <c r="D145" t="s">
        <v>17</v>
      </c>
      <c r="E145" s="2">
        <v>45359</v>
      </c>
      <c r="F145" s="2">
        <v>45366</v>
      </c>
      <c r="G145">
        <v>7</v>
      </c>
      <c r="H145" t="s">
        <v>14</v>
      </c>
      <c r="J145" t="str">
        <f t="shared" si="10"/>
        <v>ORTHOPEDICS</v>
      </c>
      <c r="K145" t="str">
        <f t="shared" si="11"/>
        <v>NO</v>
      </c>
      <c r="L145">
        <f t="shared" si="12"/>
        <v>7</v>
      </c>
      <c r="M145" t="str">
        <f t="shared" si="13"/>
        <v>Match</v>
      </c>
      <c r="N145">
        <f>_xlfn.XLOOKUP(UPPER(TRIM(SUBSTITUTE(J145,CHAR(160)," "))),Departments!A:A,Departments!C:C,"")</f>
        <v>6</v>
      </c>
      <c r="O145" t="str">
        <f t="shared" si="14"/>
        <v>Above Target</v>
      </c>
    </row>
    <row r="146" spans="1:15" x14ac:dyDescent="0.2">
      <c r="A146">
        <v>2145</v>
      </c>
      <c r="B146">
        <v>13</v>
      </c>
      <c r="C146" t="s">
        <v>9</v>
      </c>
      <c r="D146" t="s">
        <v>17</v>
      </c>
      <c r="E146" s="2">
        <v>45315</v>
      </c>
      <c r="F146" s="2">
        <v>45324</v>
      </c>
      <c r="G146">
        <v>9</v>
      </c>
      <c r="H146" t="s">
        <v>14</v>
      </c>
      <c r="I146">
        <v>18535</v>
      </c>
      <c r="J146" t="str">
        <f t="shared" si="10"/>
        <v>ORTHOPEDICS</v>
      </c>
      <c r="K146" t="str">
        <f t="shared" si="11"/>
        <v>NO</v>
      </c>
      <c r="L146">
        <f t="shared" si="12"/>
        <v>9</v>
      </c>
      <c r="M146" t="str">
        <f t="shared" si="13"/>
        <v>Match</v>
      </c>
      <c r="N146">
        <f>_xlfn.XLOOKUP(UPPER(TRIM(SUBSTITUTE(J146,CHAR(160)," "))),Departments!A:A,Departments!C:C,"")</f>
        <v>6</v>
      </c>
      <c r="O146" t="str">
        <f t="shared" si="14"/>
        <v>Above Target</v>
      </c>
    </row>
    <row r="147" spans="1:15" x14ac:dyDescent="0.2">
      <c r="A147">
        <v>2146</v>
      </c>
      <c r="B147">
        <v>78</v>
      </c>
      <c r="C147" t="s">
        <v>9</v>
      </c>
      <c r="D147" t="s">
        <v>30</v>
      </c>
      <c r="E147" s="2">
        <v>45362</v>
      </c>
      <c r="F147" s="2">
        <v>45365</v>
      </c>
      <c r="G147">
        <v>3</v>
      </c>
      <c r="H147" t="s">
        <v>14</v>
      </c>
      <c r="I147">
        <v>8295</v>
      </c>
      <c r="J147" t="str">
        <f t="shared" si="10"/>
        <v>PEDIATRICS</v>
      </c>
      <c r="K147" t="str">
        <f t="shared" si="11"/>
        <v>NO</v>
      </c>
      <c r="L147">
        <f t="shared" si="12"/>
        <v>3</v>
      </c>
      <c r="M147" t="str">
        <f t="shared" si="13"/>
        <v>Match</v>
      </c>
      <c r="N147">
        <f>_xlfn.XLOOKUP(UPPER(TRIM(SUBSTITUTE(J147,CHAR(160)," "))),Departments!A:A,Departments!C:C,"")</f>
        <v>3</v>
      </c>
      <c r="O147" t="str">
        <f t="shared" si="14"/>
        <v>Within Target</v>
      </c>
    </row>
    <row r="148" spans="1:15" x14ac:dyDescent="0.2">
      <c r="A148">
        <v>2147</v>
      </c>
      <c r="B148">
        <v>16</v>
      </c>
      <c r="C148" t="s">
        <v>12</v>
      </c>
      <c r="D148" t="s">
        <v>15</v>
      </c>
      <c r="E148" s="2">
        <v>45321</v>
      </c>
      <c r="F148" s="2">
        <v>45322</v>
      </c>
      <c r="G148">
        <v>1</v>
      </c>
      <c r="H148" t="s">
        <v>14</v>
      </c>
      <c r="I148">
        <v>3860</v>
      </c>
      <c r="J148" t="str">
        <f t="shared" si="10"/>
        <v>ER</v>
      </c>
      <c r="K148" t="str">
        <f t="shared" si="11"/>
        <v>NO</v>
      </c>
      <c r="L148">
        <f t="shared" si="12"/>
        <v>1</v>
      </c>
      <c r="M148" t="str">
        <f t="shared" si="13"/>
        <v>Match</v>
      </c>
      <c r="N148">
        <f>_xlfn.XLOOKUP(UPPER(TRIM(SUBSTITUTE(J148,CHAR(160)," "))),Departments!A:A,Departments!C:C,"")</f>
        <v>2</v>
      </c>
      <c r="O148" t="str">
        <f t="shared" si="14"/>
        <v>Within Target</v>
      </c>
    </row>
    <row r="149" spans="1:15" x14ac:dyDescent="0.2">
      <c r="A149">
        <v>2148</v>
      </c>
      <c r="B149">
        <v>22</v>
      </c>
      <c r="C149" t="s">
        <v>9</v>
      </c>
      <c r="D149" t="s">
        <v>17</v>
      </c>
      <c r="E149" s="2">
        <v>45333</v>
      </c>
      <c r="F149" s="2">
        <v>45342</v>
      </c>
      <c r="G149">
        <v>9</v>
      </c>
      <c r="H149" t="s">
        <v>14</v>
      </c>
      <c r="I149">
        <v>25833</v>
      </c>
      <c r="J149" t="str">
        <f t="shared" si="10"/>
        <v>ORTHOPEDICS</v>
      </c>
      <c r="K149" t="str">
        <f t="shared" si="11"/>
        <v>NO</v>
      </c>
      <c r="L149">
        <f t="shared" si="12"/>
        <v>9</v>
      </c>
      <c r="M149" t="str">
        <f t="shared" si="13"/>
        <v>Match</v>
      </c>
      <c r="N149">
        <f>_xlfn.XLOOKUP(UPPER(TRIM(SUBSTITUTE(J149,CHAR(160)," "))),Departments!A:A,Departments!C:C,"")</f>
        <v>6</v>
      </c>
      <c r="O149" t="str">
        <f t="shared" si="14"/>
        <v>Above Target</v>
      </c>
    </row>
    <row r="150" spans="1:15" x14ac:dyDescent="0.2">
      <c r="A150">
        <v>2149</v>
      </c>
      <c r="B150">
        <v>87</v>
      </c>
      <c r="C150" t="s">
        <v>9</v>
      </c>
      <c r="D150" t="s">
        <v>17</v>
      </c>
      <c r="E150" s="2">
        <v>45373</v>
      </c>
      <c r="F150" s="2">
        <v>45380</v>
      </c>
      <c r="G150">
        <v>7</v>
      </c>
      <c r="H150" t="s">
        <v>14</v>
      </c>
      <c r="I150">
        <v>13948</v>
      </c>
      <c r="J150" t="str">
        <f t="shared" si="10"/>
        <v>ORTHOPEDICS</v>
      </c>
      <c r="K150" t="str">
        <f t="shared" si="11"/>
        <v>NO</v>
      </c>
      <c r="L150">
        <f t="shared" si="12"/>
        <v>7</v>
      </c>
      <c r="M150" t="str">
        <f t="shared" si="13"/>
        <v>Match</v>
      </c>
      <c r="N150">
        <f>_xlfn.XLOOKUP(UPPER(TRIM(SUBSTITUTE(J150,CHAR(160)," "))),Departments!A:A,Departments!C:C,"")</f>
        <v>6</v>
      </c>
      <c r="O150" t="str">
        <f t="shared" si="14"/>
        <v>Above Target</v>
      </c>
    </row>
    <row r="151" spans="1:15" x14ac:dyDescent="0.2">
      <c r="A151">
        <v>2150</v>
      </c>
      <c r="B151">
        <v>13</v>
      </c>
      <c r="C151" t="s">
        <v>12</v>
      </c>
      <c r="D151" t="s">
        <v>15</v>
      </c>
      <c r="E151" s="2">
        <v>45310</v>
      </c>
      <c r="F151" s="2">
        <v>45311</v>
      </c>
      <c r="G151">
        <v>1</v>
      </c>
      <c r="H151" t="s">
        <v>14</v>
      </c>
      <c r="I151">
        <v>4731</v>
      </c>
      <c r="J151" t="str">
        <f t="shared" si="10"/>
        <v>ER</v>
      </c>
      <c r="K151" t="str">
        <f t="shared" si="11"/>
        <v>NO</v>
      </c>
      <c r="L151">
        <f t="shared" si="12"/>
        <v>1</v>
      </c>
      <c r="M151" t="str">
        <f t="shared" si="13"/>
        <v>Match</v>
      </c>
      <c r="N151">
        <f>_xlfn.XLOOKUP(UPPER(TRIM(SUBSTITUTE(J151,CHAR(160)," "))),Departments!A:A,Departments!C:C,"")</f>
        <v>2</v>
      </c>
      <c r="O151" t="str">
        <f t="shared" si="14"/>
        <v>Within Target</v>
      </c>
    </row>
    <row r="152" spans="1:15" x14ac:dyDescent="0.2">
      <c r="A152">
        <v>2151</v>
      </c>
      <c r="B152">
        <v>68</v>
      </c>
      <c r="C152" t="s">
        <v>9</v>
      </c>
      <c r="D152" t="s">
        <v>20</v>
      </c>
      <c r="E152" s="2">
        <v>45347</v>
      </c>
      <c r="F152" s="2">
        <v>45355</v>
      </c>
      <c r="G152">
        <v>8</v>
      </c>
      <c r="H152" t="s">
        <v>14</v>
      </c>
      <c r="I152">
        <v>24079</v>
      </c>
      <c r="J152" t="str">
        <f t="shared" si="10"/>
        <v>NEUROLOGY</v>
      </c>
      <c r="K152" t="str">
        <f t="shared" si="11"/>
        <v>NO</v>
      </c>
      <c r="L152">
        <f t="shared" si="12"/>
        <v>8</v>
      </c>
      <c r="M152" t="str">
        <f t="shared" si="13"/>
        <v>Match</v>
      </c>
      <c r="N152">
        <f>_xlfn.XLOOKUP(UPPER(TRIM(SUBSTITUTE(J152,CHAR(160)," "))),Departments!A:A,Departments!C:C,"")</f>
        <v>7</v>
      </c>
      <c r="O152" t="str">
        <f t="shared" si="14"/>
        <v>Above Target</v>
      </c>
    </row>
    <row r="153" spans="1:15" x14ac:dyDescent="0.2">
      <c r="A153">
        <v>2152</v>
      </c>
      <c r="B153">
        <v>65</v>
      </c>
      <c r="C153" t="s">
        <v>12</v>
      </c>
      <c r="D153" t="s">
        <v>22</v>
      </c>
      <c r="E153" s="2">
        <v>45336</v>
      </c>
      <c r="F153" s="2">
        <v>45341</v>
      </c>
      <c r="G153">
        <v>5</v>
      </c>
      <c r="H153" t="s">
        <v>14</v>
      </c>
      <c r="I153">
        <v>15082</v>
      </c>
      <c r="J153" t="str">
        <f t="shared" si="10"/>
        <v>ONCOLOGY</v>
      </c>
      <c r="K153" t="str">
        <f t="shared" si="11"/>
        <v>NO</v>
      </c>
      <c r="L153">
        <f t="shared" si="12"/>
        <v>5</v>
      </c>
      <c r="M153" t="str">
        <f t="shared" si="13"/>
        <v>Match</v>
      </c>
      <c r="N153">
        <f>_xlfn.XLOOKUP(UPPER(TRIM(SUBSTITUTE(J153,CHAR(160)," "))),Departments!A:A,Departments!C:C,"")</f>
        <v>6</v>
      </c>
      <c r="O153" t="str">
        <f t="shared" si="14"/>
        <v>Within Target</v>
      </c>
    </row>
    <row r="154" spans="1:15" x14ac:dyDescent="0.2">
      <c r="A154">
        <v>2153</v>
      </c>
      <c r="B154">
        <v>12</v>
      </c>
      <c r="C154" t="s">
        <v>9</v>
      </c>
      <c r="D154" t="s">
        <v>15</v>
      </c>
      <c r="E154" s="2">
        <v>45362</v>
      </c>
      <c r="G154">
        <v>2</v>
      </c>
      <c r="H154" t="s">
        <v>14</v>
      </c>
      <c r="I154">
        <v>4518</v>
      </c>
      <c r="J154" t="str">
        <f t="shared" si="10"/>
        <v>ER</v>
      </c>
      <c r="K154" t="str">
        <f t="shared" si="11"/>
        <v>NO</v>
      </c>
      <c r="L154" t="str">
        <f t="shared" si="12"/>
        <v/>
      </c>
      <c r="M154" t="str">
        <f t="shared" si="13"/>
        <v/>
      </c>
      <c r="N154">
        <f>_xlfn.XLOOKUP(UPPER(TRIM(SUBSTITUTE(J154,CHAR(160)," "))),Departments!A:A,Departments!C:C,"")</f>
        <v>2</v>
      </c>
      <c r="O154" t="str">
        <f t="shared" si="14"/>
        <v/>
      </c>
    </row>
    <row r="155" spans="1:15" x14ac:dyDescent="0.2">
      <c r="A155">
        <v>2154</v>
      </c>
      <c r="B155">
        <v>78</v>
      </c>
      <c r="C155" t="s">
        <v>9</v>
      </c>
      <c r="D155" t="s">
        <v>29</v>
      </c>
      <c r="E155" s="2">
        <v>45361</v>
      </c>
      <c r="F155" s="2">
        <v>45372</v>
      </c>
      <c r="G155">
        <v>11</v>
      </c>
      <c r="H155" t="s">
        <v>14</v>
      </c>
      <c r="I155">
        <v>23194</v>
      </c>
      <c r="J155" t="str">
        <f t="shared" si="10"/>
        <v>ONCOLOGY</v>
      </c>
      <c r="K155" t="str">
        <f t="shared" si="11"/>
        <v>NO</v>
      </c>
      <c r="L155">
        <f t="shared" si="12"/>
        <v>11</v>
      </c>
      <c r="M155" t="str">
        <f t="shared" si="13"/>
        <v>Match</v>
      </c>
      <c r="N155">
        <f>_xlfn.XLOOKUP(UPPER(TRIM(SUBSTITUTE(J155,CHAR(160)," "))),Departments!A:A,Departments!C:C,"")</f>
        <v>6</v>
      </c>
      <c r="O155" t="str">
        <f t="shared" si="14"/>
        <v>Above Target</v>
      </c>
    </row>
    <row r="156" spans="1:15" x14ac:dyDescent="0.2">
      <c r="A156">
        <v>2155</v>
      </c>
      <c r="B156">
        <v>6</v>
      </c>
      <c r="C156" t="s">
        <v>12</v>
      </c>
      <c r="D156" t="s">
        <v>16</v>
      </c>
      <c r="E156" s="2">
        <v>45314</v>
      </c>
      <c r="F156" s="2">
        <v>45315</v>
      </c>
      <c r="G156">
        <v>1</v>
      </c>
      <c r="H156" t="s">
        <v>14</v>
      </c>
      <c r="I156">
        <v>5038</v>
      </c>
      <c r="J156" t="str">
        <f t="shared" si="10"/>
        <v>PEDIATRICS</v>
      </c>
      <c r="K156" t="str">
        <f t="shared" si="11"/>
        <v>NO</v>
      </c>
      <c r="L156">
        <f t="shared" si="12"/>
        <v>1</v>
      </c>
      <c r="M156" t="str">
        <f t="shared" si="13"/>
        <v>Match</v>
      </c>
      <c r="N156">
        <f>_xlfn.XLOOKUP(UPPER(TRIM(SUBSTITUTE(J156,CHAR(160)," "))),Departments!A:A,Departments!C:C,"")</f>
        <v>3</v>
      </c>
      <c r="O156" t="str">
        <f t="shared" si="14"/>
        <v>Within Target</v>
      </c>
    </row>
    <row r="157" spans="1:15" x14ac:dyDescent="0.2">
      <c r="A157">
        <v>2156</v>
      </c>
      <c r="B157">
        <v>18</v>
      </c>
      <c r="C157" t="s">
        <v>12</v>
      </c>
      <c r="D157" t="s">
        <v>22</v>
      </c>
      <c r="E157" s="2">
        <v>45325</v>
      </c>
      <c r="F157" s="2">
        <v>45340</v>
      </c>
      <c r="G157">
        <v>15</v>
      </c>
      <c r="H157" t="s">
        <v>14</v>
      </c>
      <c r="I157">
        <v>35215</v>
      </c>
      <c r="J157" t="str">
        <f t="shared" si="10"/>
        <v>ONCOLOGY</v>
      </c>
      <c r="K157" t="str">
        <f t="shared" si="11"/>
        <v>NO</v>
      </c>
      <c r="L157">
        <f t="shared" si="12"/>
        <v>15</v>
      </c>
      <c r="M157" t="str">
        <f t="shared" si="13"/>
        <v>Match</v>
      </c>
      <c r="N157">
        <f>_xlfn.XLOOKUP(UPPER(TRIM(SUBSTITUTE(J157,CHAR(160)," "))),Departments!A:A,Departments!C:C,"")</f>
        <v>6</v>
      </c>
      <c r="O157" t="str">
        <f t="shared" si="14"/>
        <v>Above Target</v>
      </c>
    </row>
    <row r="158" spans="1:15" x14ac:dyDescent="0.2">
      <c r="A158">
        <v>2157</v>
      </c>
      <c r="B158">
        <v>7</v>
      </c>
      <c r="C158" t="s">
        <v>12</v>
      </c>
      <c r="D158" t="s">
        <v>22</v>
      </c>
      <c r="E158" s="2">
        <v>45358</v>
      </c>
      <c r="F158" s="2">
        <v>45360</v>
      </c>
      <c r="G158">
        <v>2</v>
      </c>
      <c r="H158" t="s">
        <v>14</v>
      </c>
      <c r="I158">
        <v>13402</v>
      </c>
      <c r="J158" t="str">
        <f t="shared" si="10"/>
        <v>ONCOLOGY</v>
      </c>
      <c r="K158" t="str">
        <f t="shared" si="11"/>
        <v>NO</v>
      </c>
      <c r="L158">
        <f t="shared" si="12"/>
        <v>2</v>
      </c>
      <c r="M158" t="str">
        <f t="shared" si="13"/>
        <v>Match</v>
      </c>
      <c r="N158">
        <f>_xlfn.XLOOKUP(UPPER(TRIM(SUBSTITUTE(J158,CHAR(160)," "))),Departments!A:A,Departments!C:C,"")</f>
        <v>6</v>
      </c>
      <c r="O158" t="str">
        <f t="shared" si="14"/>
        <v>Within Target</v>
      </c>
    </row>
    <row r="159" spans="1:15" x14ac:dyDescent="0.2">
      <c r="A159">
        <v>2158</v>
      </c>
      <c r="B159">
        <v>77</v>
      </c>
      <c r="C159" t="s">
        <v>9</v>
      </c>
      <c r="D159" t="s">
        <v>10</v>
      </c>
      <c r="E159" s="2">
        <v>45344</v>
      </c>
      <c r="F159" s="2">
        <v>45346</v>
      </c>
      <c r="G159">
        <v>2</v>
      </c>
      <c r="H159" t="s">
        <v>11</v>
      </c>
      <c r="I159">
        <v>5868</v>
      </c>
      <c r="J159" t="str">
        <f t="shared" si="10"/>
        <v>ER</v>
      </c>
      <c r="K159" t="str">
        <f t="shared" si="11"/>
        <v>YES</v>
      </c>
      <c r="L159">
        <f t="shared" si="12"/>
        <v>2</v>
      </c>
      <c r="M159" t="str">
        <f t="shared" si="13"/>
        <v>Match</v>
      </c>
      <c r="N159">
        <f>_xlfn.XLOOKUP(UPPER(TRIM(SUBSTITUTE(J159,CHAR(160)," "))),Departments!A:A,Departments!C:C,"")</f>
        <v>2</v>
      </c>
      <c r="O159" t="str">
        <f t="shared" si="14"/>
        <v>Within Target</v>
      </c>
    </row>
    <row r="160" spans="1:15" x14ac:dyDescent="0.2">
      <c r="A160">
        <v>2159</v>
      </c>
      <c r="B160">
        <v>86</v>
      </c>
      <c r="C160" t="s">
        <v>9</v>
      </c>
      <c r="D160" t="s">
        <v>13</v>
      </c>
      <c r="E160" s="2">
        <v>45319</v>
      </c>
      <c r="F160" s="2">
        <v>45322</v>
      </c>
      <c r="G160">
        <v>3</v>
      </c>
      <c r="H160" t="s">
        <v>11</v>
      </c>
      <c r="I160">
        <v>11572</v>
      </c>
      <c r="J160" t="str">
        <f t="shared" si="10"/>
        <v>CARDIOLOGY</v>
      </c>
      <c r="K160" t="str">
        <f t="shared" si="11"/>
        <v>YES</v>
      </c>
      <c r="L160">
        <f t="shared" si="12"/>
        <v>3</v>
      </c>
      <c r="M160" t="str">
        <f t="shared" si="13"/>
        <v>Match</v>
      </c>
      <c r="N160">
        <f>_xlfn.XLOOKUP(UPPER(TRIM(SUBSTITUTE(J160,CHAR(160)," "))),Departments!A:A,Departments!C:C,"")</f>
        <v>5</v>
      </c>
      <c r="O160" t="str">
        <f t="shared" si="14"/>
        <v>Within Target</v>
      </c>
    </row>
    <row r="161" spans="1:15" x14ac:dyDescent="0.2">
      <c r="A161">
        <v>2160</v>
      </c>
      <c r="B161">
        <v>7</v>
      </c>
      <c r="C161" t="s">
        <v>12</v>
      </c>
      <c r="D161" t="s">
        <v>16</v>
      </c>
      <c r="E161" s="2">
        <v>45380</v>
      </c>
      <c r="F161" s="2">
        <v>45382</v>
      </c>
      <c r="G161">
        <v>2</v>
      </c>
      <c r="H161" t="s">
        <v>14</v>
      </c>
      <c r="I161">
        <v>5944</v>
      </c>
      <c r="J161" t="str">
        <f t="shared" si="10"/>
        <v>PEDIATRICS</v>
      </c>
      <c r="K161" t="str">
        <f t="shared" si="11"/>
        <v>NO</v>
      </c>
      <c r="L161">
        <f t="shared" si="12"/>
        <v>2</v>
      </c>
      <c r="M161" t="str">
        <f t="shared" si="13"/>
        <v>Match</v>
      </c>
      <c r="N161">
        <f>_xlfn.XLOOKUP(UPPER(TRIM(SUBSTITUTE(J161,CHAR(160)," "))),Departments!A:A,Departments!C:C,"")</f>
        <v>3</v>
      </c>
      <c r="O161" t="str">
        <f t="shared" si="14"/>
        <v>Within Target</v>
      </c>
    </row>
    <row r="162" spans="1:15" x14ac:dyDescent="0.2">
      <c r="A162">
        <v>2161</v>
      </c>
      <c r="B162">
        <v>33</v>
      </c>
      <c r="C162" t="s">
        <v>9</v>
      </c>
      <c r="D162" t="s">
        <v>16</v>
      </c>
      <c r="E162" s="2">
        <v>45296</v>
      </c>
      <c r="F162" s="2">
        <v>45297</v>
      </c>
      <c r="G162">
        <v>1</v>
      </c>
      <c r="H162" t="s">
        <v>11</v>
      </c>
      <c r="I162">
        <v>5529</v>
      </c>
      <c r="J162" t="str">
        <f t="shared" si="10"/>
        <v>PEDIATRICS</v>
      </c>
      <c r="K162" t="str">
        <f t="shared" si="11"/>
        <v>YES</v>
      </c>
      <c r="L162">
        <f t="shared" si="12"/>
        <v>1</v>
      </c>
      <c r="M162" t="str">
        <f t="shared" si="13"/>
        <v>Match</v>
      </c>
      <c r="N162">
        <f>_xlfn.XLOOKUP(UPPER(TRIM(SUBSTITUTE(J162,CHAR(160)," "))),Departments!A:A,Departments!C:C,"")</f>
        <v>3</v>
      </c>
      <c r="O162" t="str">
        <f t="shared" si="14"/>
        <v>Within Target</v>
      </c>
    </row>
    <row r="163" spans="1:15" x14ac:dyDescent="0.2">
      <c r="A163">
        <v>2162</v>
      </c>
      <c r="B163">
        <v>63</v>
      </c>
      <c r="C163" t="s">
        <v>9</v>
      </c>
      <c r="D163" t="s">
        <v>20</v>
      </c>
      <c r="E163" s="2">
        <v>45339</v>
      </c>
      <c r="F163" s="2">
        <v>45351</v>
      </c>
      <c r="G163">
        <v>12</v>
      </c>
      <c r="H163" t="s">
        <v>14</v>
      </c>
      <c r="I163">
        <v>31430</v>
      </c>
      <c r="J163" t="str">
        <f t="shared" si="10"/>
        <v>NEUROLOGY</v>
      </c>
      <c r="K163" t="str">
        <f t="shared" si="11"/>
        <v>NO</v>
      </c>
      <c r="L163">
        <f t="shared" si="12"/>
        <v>12</v>
      </c>
      <c r="M163" t="str">
        <f t="shared" si="13"/>
        <v>Match</v>
      </c>
      <c r="N163">
        <f>_xlfn.XLOOKUP(UPPER(TRIM(SUBSTITUTE(J163,CHAR(160)," "))),Departments!A:A,Departments!C:C,"")</f>
        <v>7</v>
      </c>
      <c r="O163" t="str">
        <f t="shared" si="14"/>
        <v>Above Target</v>
      </c>
    </row>
    <row r="164" spans="1:15" x14ac:dyDescent="0.2">
      <c r="A164">
        <v>2163</v>
      </c>
      <c r="B164">
        <v>21</v>
      </c>
      <c r="C164" t="s">
        <v>12</v>
      </c>
      <c r="D164" t="s">
        <v>15</v>
      </c>
      <c r="E164" s="2">
        <v>45341</v>
      </c>
      <c r="F164" s="2">
        <v>45343</v>
      </c>
      <c r="G164">
        <v>2</v>
      </c>
      <c r="H164" t="s">
        <v>14</v>
      </c>
      <c r="I164">
        <v>6503</v>
      </c>
      <c r="J164" t="str">
        <f t="shared" si="10"/>
        <v>ER</v>
      </c>
      <c r="K164" t="str">
        <f t="shared" si="11"/>
        <v>NO</v>
      </c>
      <c r="L164">
        <f t="shared" si="12"/>
        <v>2</v>
      </c>
      <c r="M164" t="str">
        <f t="shared" si="13"/>
        <v>Match</v>
      </c>
      <c r="N164">
        <f>_xlfn.XLOOKUP(UPPER(TRIM(SUBSTITUTE(J164,CHAR(160)," "))),Departments!A:A,Departments!C:C,"")</f>
        <v>2</v>
      </c>
      <c r="O164" t="str">
        <f t="shared" si="14"/>
        <v>Within Target</v>
      </c>
    </row>
    <row r="165" spans="1:15" x14ac:dyDescent="0.2">
      <c r="A165">
        <v>2164</v>
      </c>
      <c r="B165">
        <v>77</v>
      </c>
      <c r="C165" t="s">
        <v>12</v>
      </c>
      <c r="D165" t="s">
        <v>22</v>
      </c>
      <c r="E165" s="2">
        <v>45293</v>
      </c>
      <c r="F165" s="2">
        <v>45308</v>
      </c>
      <c r="G165">
        <v>15</v>
      </c>
      <c r="H165" t="s">
        <v>11</v>
      </c>
      <c r="I165">
        <v>32877</v>
      </c>
      <c r="J165" t="str">
        <f t="shared" si="10"/>
        <v>ONCOLOGY</v>
      </c>
      <c r="K165" t="str">
        <f t="shared" si="11"/>
        <v>YES</v>
      </c>
      <c r="L165">
        <f t="shared" si="12"/>
        <v>15</v>
      </c>
      <c r="M165" t="str">
        <f t="shared" si="13"/>
        <v>Match</v>
      </c>
      <c r="N165">
        <f>_xlfn.XLOOKUP(UPPER(TRIM(SUBSTITUTE(J165,CHAR(160)," "))),Departments!A:A,Departments!C:C,"")</f>
        <v>6</v>
      </c>
      <c r="O165" t="str">
        <f t="shared" si="14"/>
        <v>Above Target</v>
      </c>
    </row>
    <row r="166" spans="1:15" x14ac:dyDescent="0.2">
      <c r="A166">
        <v>2165</v>
      </c>
      <c r="B166">
        <v>78</v>
      </c>
      <c r="C166" t="s">
        <v>9</v>
      </c>
      <c r="D166" t="s">
        <v>15</v>
      </c>
      <c r="E166" s="2">
        <v>45328</v>
      </c>
      <c r="F166" s="2">
        <v>45331</v>
      </c>
      <c r="G166">
        <v>3</v>
      </c>
      <c r="H166" t="s">
        <v>11</v>
      </c>
      <c r="I166">
        <v>6562</v>
      </c>
      <c r="J166" t="str">
        <f t="shared" si="10"/>
        <v>ER</v>
      </c>
      <c r="K166" t="str">
        <f t="shared" si="11"/>
        <v>YES</v>
      </c>
      <c r="L166">
        <f t="shared" si="12"/>
        <v>3</v>
      </c>
      <c r="M166" t="str">
        <f t="shared" si="13"/>
        <v>Match</v>
      </c>
      <c r="N166">
        <f>_xlfn.XLOOKUP(UPPER(TRIM(SUBSTITUTE(J166,CHAR(160)," "))),Departments!A:A,Departments!C:C,"")</f>
        <v>2</v>
      </c>
      <c r="O166" t="str">
        <f t="shared" si="14"/>
        <v>Above Target</v>
      </c>
    </row>
    <row r="167" spans="1:15" x14ac:dyDescent="0.2">
      <c r="A167">
        <v>2166</v>
      </c>
      <c r="B167">
        <v>6</v>
      </c>
      <c r="C167" t="s">
        <v>12</v>
      </c>
      <c r="D167" t="s">
        <v>17</v>
      </c>
      <c r="E167" s="2">
        <v>45365</v>
      </c>
      <c r="F167" s="2">
        <v>45369</v>
      </c>
      <c r="G167">
        <v>4</v>
      </c>
      <c r="H167" t="s">
        <v>14</v>
      </c>
      <c r="I167">
        <v>16686</v>
      </c>
      <c r="J167" t="str">
        <f t="shared" si="10"/>
        <v>ORTHOPEDICS</v>
      </c>
      <c r="K167" t="str">
        <f t="shared" si="11"/>
        <v>NO</v>
      </c>
      <c r="L167">
        <f t="shared" si="12"/>
        <v>4</v>
      </c>
      <c r="M167" t="str">
        <f t="shared" si="13"/>
        <v>Match</v>
      </c>
      <c r="N167">
        <f>_xlfn.XLOOKUP(UPPER(TRIM(SUBSTITUTE(J167,CHAR(160)," "))),Departments!A:A,Departments!C:C,"")</f>
        <v>6</v>
      </c>
      <c r="O167" t="str">
        <f t="shared" si="14"/>
        <v>Within Target</v>
      </c>
    </row>
    <row r="168" spans="1:15" x14ac:dyDescent="0.2">
      <c r="A168">
        <v>2167</v>
      </c>
      <c r="B168">
        <v>63</v>
      </c>
      <c r="C168" t="s">
        <v>12</v>
      </c>
      <c r="D168" t="s">
        <v>31</v>
      </c>
      <c r="E168" s="2">
        <v>45321</v>
      </c>
      <c r="F168" s="2">
        <v>45327</v>
      </c>
      <c r="G168">
        <v>6</v>
      </c>
      <c r="H168" t="s">
        <v>14</v>
      </c>
      <c r="I168">
        <v>18406</v>
      </c>
      <c r="J168" t="str">
        <f t="shared" si="10"/>
        <v>ORTHOPEDICS</v>
      </c>
      <c r="K168" t="str">
        <f t="shared" si="11"/>
        <v>NO</v>
      </c>
      <c r="L168">
        <f t="shared" si="12"/>
        <v>6</v>
      </c>
      <c r="M168" t="str">
        <f t="shared" si="13"/>
        <v>Match</v>
      </c>
      <c r="N168">
        <f>_xlfn.XLOOKUP(UPPER(TRIM(SUBSTITUTE(J168,CHAR(160)," "))),Departments!A:A,Departments!C:C,"")</f>
        <v>6</v>
      </c>
      <c r="O168" t="str">
        <f t="shared" si="14"/>
        <v>Within Target</v>
      </c>
    </row>
    <row r="169" spans="1:15" x14ac:dyDescent="0.2">
      <c r="A169">
        <v>2168</v>
      </c>
      <c r="B169">
        <v>50</v>
      </c>
      <c r="C169" t="s">
        <v>12</v>
      </c>
      <c r="D169" t="s">
        <v>22</v>
      </c>
      <c r="E169" s="2">
        <v>45303</v>
      </c>
      <c r="F169" s="2">
        <v>45313</v>
      </c>
      <c r="G169">
        <v>10</v>
      </c>
      <c r="H169" t="s">
        <v>14</v>
      </c>
      <c r="I169">
        <v>19456</v>
      </c>
      <c r="J169" t="str">
        <f t="shared" si="10"/>
        <v>ONCOLOGY</v>
      </c>
      <c r="K169" t="str">
        <f t="shared" si="11"/>
        <v>NO</v>
      </c>
      <c r="L169">
        <f t="shared" si="12"/>
        <v>10</v>
      </c>
      <c r="M169" t="str">
        <f t="shared" si="13"/>
        <v>Match</v>
      </c>
      <c r="N169">
        <f>_xlfn.XLOOKUP(UPPER(TRIM(SUBSTITUTE(J169,CHAR(160)," "))),Departments!A:A,Departments!C:C,"")</f>
        <v>6</v>
      </c>
      <c r="O169" t="str">
        <f t="shared" si="14"/>
        <v>Above Target</v>
      </c>
    </row>
    <row r="170" spans="1:15" x14ac:dyDescent="0.2">
      <c r="A170">
        <v>2169</v>
      </c>
      <c r="B170">
        <v>42</v>
      </c>
      <c r="C170" t="s">
        <v>12</v>
      </c>
      <c r="D170" t="s">
        <v>22</v>
      </c>
      <c r="E170" s="2">
        <v>45367</v>
      </c>
      <c r="F170" s="2">
        <v>45372</v>
      </c>
      <c r="G170">
        <v>5</v>
      </c>
      <c r="H170" t="s">
        <v>14</v>
      </c>
      <c r="I170">
        <v>15353</v>
      </c>
      <c r="J170" t="str">
        <f t="shared" si="10"/>
        <v>ONCOLOGY</v>
      </c>
      <c r="K170" t="str">
        <f t="shared" si="11"/>
        <v>NO</v>
      </c>
      <c r="L170">
        <f t="shared" si="12"/>
        <v>5</v>
      </c>
      <c r="M170" t="str">
        <f t="shared" si="13"/>
        <v>Match</v>
      </c>
      <c r="N170">
        <f>_xlfn.XLOOKUP(UPPER(TRIM(SUBSTITUTE(J170,CHAR(160)," "))),Departments!A:A,Departments!C:C,"")</f>
        <v>6</v>
      </c>
      <c r="O170" t="str">
        <f t="shared" si="14"/>
        <v>Within Target</v>
      </c>
    </row>
    <row r="171" spans="1:15" x14ac:dyDescent="0.2">
      <c r="A171">
        <v>2170</v>
      </c>
      <c r="B171">
        <v>52</v>
      </c>
      <c r="C171" t="s">
        <v>9</v>
      </c>
      <c r="D171" t="s">
        <v>17</v>
      </c>
      <c r="E171" s="2">
        <v>45297</v>
      </c>
      <c r="F171" s="2">
        <v>45306</v>
      </c>
      <c r="G171">
        <v>9</v>
      </c>
      <c r="H171" t="s">
        <v>14</v>
      </c>
      <c r="I171">
        <v>18014</v>
      </c>
      <c r="J171" t="str">
        <f t="shared" si="10"/>
        <v>ORTHOPEDICS</v>
      </c>
      <c r="K171" t="str">
        <f t="shared" si="11"/>
        <v>NO</v>
      </c>
      <c r="L171">
        <f t="shared" si="12"/>
        <v>9</v>
      </c>
      <c r="M171" t="str">
        <f t="shared" si="13"/>
        <v>Match</v>
      </c>
      <c r="N171">
        <f>_xlfn.XLOOKUP(UPPER(TRIM(SUBSTITUTE(J171,CHAR(160)," "))),Departments!A:A,Departments!C:C,"")</f>
        <v>6</v>
      </c>
      <c r="O171" t="str">
        <f t="shared" si="14"/>
        <v>Above Target</v>
      </c>
    </row>
    <row r="172" spans="1:15" x14ac:dyDescent="0.2">
      <c r="A172">
        <v>2171</v>
      </c>
      <c r="B172">
        <v>45</v>
      </c>
      <c r="C172" t="s">
        <v>12</v>
      </c>
      <c r="D172" t="s">
        <v>22</v>
      </c>
      <c r="E172" s="2">
        <v>45369</v>
      </c>
      <c r="F172" s="2">
        <v>45371</v>
      </c>
      <c r="G172">
        <v>2</v>
      </c>
      <c r="H172" t="s">
        <v>11</v>
      </c>
      <c r="I172">
        <v>13121</v>
      </c>
      <c r="J172" t="str">
        <f t="shared" si="10"/>
        <v>ONCOLOGY</v>
      </c>
      <c r="K172" t="str">
        <f t="shared" si="11"/>
        <v>YES</v>
      </c>
      <c r="L172">
        <f t="shared" si="12"/>
        <v>2</v>
      </c>
      <c r="M172" t="str">
        <f t="shared" si="13"/>
        <v>Match</v>
      </c>
      <c r="N172">
        <f>_xlfn.XLOOKUP(UPPER(TRIM(SUBSTITUTE(J172,CHAR(160)," "))),Departments!A:A,Departments!C:C,"")</f>
        <v>6</v>
      </c>
      <c r="O172" t="str">
        <f t="shared" si="14"/>
        <v>Within Target</v>
      </c>
    </row>
    <row r="173" spans="1:15" x14ac:dyDescent="0.2">
      <c r="A173">
        <v>2172</v>
      </c>
      <c r="B173">
        <v>36</v>
      </c>
      <c r="C173" t="s">
        <v>12</v>
      </c>
      <c r="D173" t="s">
        <v>18</v>
      </c>
      <c r="E173" s="2">
        <v>45349</v>
      </c>
      <c r="F173" s="2">
        <v>45353</v>
      </c>
      <c r="G173">
        <v>4</v>
      </c>
      <c r="H173" t="s">
        <v>14</v>
      </c>
      <c r="I173">
        <v>12801</v>
      </c>
      <c r="J173" t="str">
        <f t="shared" si="10"/>
        <v xml:space="preserve"> CARDIOLOGY  </v>
      </c>
      <c r="K173" t="str">
        <f t="shared" si="11"/>
        <v>NO</v>
      </c>
      <c r="L173">
        <f t="shared" si="12"/>
        <v>4</v>
      </c>
      <c r="M173" t="str">
        <f t="shared" si="13"/>
        <v>Match</v>
      </c>
      <c r="N173">
        <f>_xlfn.XLOOKUP(UPPER(TRIM(SUBSTITUTE(J173,CHAR(160)," "))),Departments!A:A,Departments!C:C,"")</f>
        <v>5</v>
      </c>
      <c r="O173" t="str">
        <f t="shared" si="14"/>
        <v>Within Target</v>
      </c>
    </row>
    <row r="174" spans="1:15" x14ac:dyDescent="0.2">
      <c r="A174">
        <v>2173</v>
      </c>
      <c r="B174">
        <v>72</v>
      </c>
      <c r="C174" t="s">
        <v>12</v>
      </c>
      <c r="D174" t="s">
        <v>16</v>
      </c>
      <c r="E174" s="2">
        <v>45350</v>
      </c>
      <c r="F174" s="2">
        <v>45354</v>
      </c>
      <c r="G174">
        <v>4</v>
      </c>
      <c r="H174" t="s">
        <v>14</v>
      </c>
      <c r="I174">
        <v>9091</v>
      </c>
      <c r="J174" t="str">
        <f t="shared" si="10"/>
        <v>PEDIATRICS</v>
      </c>
      <c r="K174" t="str">
        <f t="shared" si="11"/>
        <v>NO</v>
      </c>
      <c r="L174">
        <f t="shared" si="12"/>
        <v>4</v>
      </c>
      <c r="M174" t="str">
        <f t="shared" si="13"/>
        <v>Match</v>
      </c>
      <c r="N174">
        <f>_xlfn.XLOOKUP(UPPER(TRIM(SUBSTITUTE(J174,CHAR(160)," "))),Departments!A:A,Departments!C:C,"")</f>
        <v>3</v>
      </c>
      <c r="O174" t="str">
        <f t="shared" si="14"/>
        <v>Above Target</v>
      </c>
    </row>
    <row r="175" spans="1:15" x14ac:dyDescent="0.2">
      <c r="A175">
        <v>2174</v>
      </c>
      <c r="B175">
        <v>33</v>
      </c>
      <c r="C175" t="s">
        <v>12</v>
      </c>
      <c r="D175" t="s">
        <v>22</v>
      </c>
      <c r="E175" s="2">
        <v>45321</v>
      </c>
      <c r="F175" s="2">
        <v>45333</v>
      </c>
      <c r="G175">
        <v>12</v>
      </c>
      <c r="H175" t="s">
        <v>11</v>
      </c>
      <c r="I175">
        <v>32749</v>
      </c>
      <c r="J175" t="str">
        <f t="shared" si="10"/>
        <v>ONCOLOGY</v>
      </c>
      <c r="K175" t="str">
        <f t="shared" si="11"/>
        <v>YES</v>
      </c>
      <c r="L175">
        <f t="shared" si="12"/>
        <v>12</v>
      </c>
      <c r="M175" t="str">
        <f t="shared" si="13"/>
        <v>Match</v>
      </c>
      <c r="N175">
        <f>_xlfn.XLOOKUP(UPPER(TRIM(SUBSTITUTE(J175,CHAR(160)," "))),Departments!A:A,Departments!C:C,"")</f>
        <v>6</v>
      </c>
      <c r="O175" t="str">
        <f t="shared" si="14"/>
        <v>Above Target</v>
      </c>
    </row>
    <row r="176" spans="1:15" x14ac:dyDescent="0.2">
      <c r="A176">
        <v>2175</v>
      </c>
      <c r="B176">
        <v>29</v>
      </c>
      <c r="C176" t="s">
        <v>9</v>
      </c>
      <c r="D176" t="s">
        <v>13</v>
      </c>
      <c r="E176" s="2">
        <v>45324</v>
      </c>
      <c r="F176" s="2">
        <v>45331</v>
      </c>
      <c r="G176">
        <v>7</v>
      </c>
      <c r="H176" t="s">
        <v>11</v>
      </c>
      <c r="J176" t="str">
        <f t="shared" si="10"/>
        <v>CARDIOLOGY</v>
      </c>
      <c r="K176" t="str">
        <f t="shared" si="11"/>
        <v>YES</v>
      </c>
      <c r="L176">
        <f t="shared" si="12"/>
        <v>7</v>
      </c>
      <c r="M176" t="str">
        <f t="shared" si="13"/>
        <v>Match</v>
      </c>
      <c r="N176">
        <f>_xlfn.XLOOKUP(UPPER(TRIM(SUBSTITUTE(J176,CHAR(160)," "))),Departments!A:A,Departments!C:C,"")</f>
        <v>5</v>
      </c>
      <c r="O176" t="str">
        <f t="shared" si="14"/>
        <v>Above Target</v>
      </c>
    </row>
    <row r="177" spans="1:15" x14ac:dyDescent="0.2">
      <c r="A177">
        <v>2176</v>
      </c>
      <c r="B177">
        <v>83</v>
      </c>
      <c r="C177" t="s">
        <v>12</v>
      </c>
      <c r="D177" t="s">
        <v>13</v>
      </c>
      <c r="E177" s="2">
        <v>45304</v>
      </c>
      <c r="F177" s="2">
        <v>45308</v>
      </c>
      <c r="G177">
        <v>4</v>
      </c>
      <c r="H177" t="s">
        <v>14</v>
      </c>
      <c r="I177">
        <v>13767</v>
      </c>
      <c r="J177" t="str">
        <f t="shared" si="10"/>
        <v>CARDIOLOGY</v>
      </c>
      <c r="K177" t="str">
        <f t="shared" si="11"/>
        <v>NO</v>
      </c>
      <c r="L177">
        <f t="shared" si="12"/>
        <v>4</v>
      </c>
      <c r="M177" t="str">
        <f t="shared" si="13"/>
        <v>Match</v>
      </c>
      <c r="N177">
        <f>_xlfn.XLOOKUP(UPPER(TRIM(SUBSTITUTE(J177,CHAR(160)," "))),Departments!A:A,Departments!C:C,"")</f>
        <v>5</v>
      </c>
      <c r="O177" t="str">
        <f t="shared" si="14"/>
        <v>Within Target</v>
      </c>
    </row>
    <row r="178" spans="1:15" x14ac:dyDescent="0.2">
      <c r="A178">
        <v>2177</v>
      </c>
      <c r="B178">
        <v>84</v>
      </c>
      <c r="C178" t="s">
        <v>9</v>
      </c>
      <c r="D178" t="s">
        <v>15</v>
      </c>
      <c r="E178" s="2">
        <v>45333</v>
      </c>
      <c r="F178" s="2">
        <v>45334</v>
      </c>
      <c r="G178">
        <v>1</v>
      </c>
      <c r="H178" t="s">
        <v>14</v>
      </c>
      <c r="I178">
        <v>3621</v>
      </c>
      <c r="J178" t="str">
        <f t="shared" si="10"/>
        <v>ER</v>
      </c>
      <c r="K178" t="str">
        <f t="shared" si="11"/>
        <v>NO</v>
      </c>
      <c r="L178">
        <f t="shared" si="12"/>
        <v>1</v>
      </c>
      <c r="M178" t="str">
        <f t="shared" si="13"/>
        <v>Match</v>
      </c>
      <c r="N178">
        <f>_xlfn.XLOOKUP(UPPER(TRIM(SUBSTITUTE(J178,CHAR(160)," "))),Departments!A:A,Departments!C:C,"")</f>
        <v>2</v>
      </c>
      <c r="O178" t="str">
        <f t="shared" si="14"/>
        <v>Within Target</v>
      </c>
    </row>
    <row r="179" spans="1:15" x14ac:dyDescent="0.2">
      <c r="A179">
        <v>2178</v>
      </c>
      <c r="B179">
        <v>87</v>
      </c>
      <c r="C179" t="s">
        <v>9</v>
      </c>
      <c r="D179" t="s">
        <v>15</v>
      </c>
      <c r="E179" s="2">
        <v>45316</v>
      </c>
      <c r="F179" s="2">
        <v>45317</v>
      </c>
      <c r="G179">
        <v>1</v>
      </c>
      <c r="H179" t="s">
        <v>11</v>
      </c>
      <c r="I179">
        <v>3210</v>
      </c>
      <c r="J179" t="str">
        <f t="shared" si="10"/>
        <v>ER</v>
      </c>
      <c r="K179" t="str">
        <f t="shared" si="11"/>
        <v>YES</v>
      </c>
      <c r="L179">
        <f t="shared" si="12"/>
        <v>1</v>
      </c>
      <c r="M179" t="str">
        <f t="shared" si="13"/>
        <v>Match</v>
      </c>
      <c r="N179">
        <f>_xlfn.XLOOKUP(UPPER(TRIM(SUBSTITUTE(J179,CHAR(160)," "))),Departments!A:A,Departments!C:C,"")</f>
        <v>2</v>
      </c>
      <c r="O179" t="str">
        <f t="shared" si="14"/>
        <v>Within Target</v>
      </c>
    </row>
    <row r="180" spans="1:15" x14ac:dyDescent="0.2">
      <c r="A180">
        <v>2179</v>
      </c>
      <c r="B180">
        <v>58</v>
      </c>
      <c r="C180" t="s">
        <v>9</v>
      </c>
      <c r="D180" t="s">
        <v>15</v>
      </c>
      <c r="E180" s="2">
        <v>45294</v>
      </c>
      <c r="F180" s="2">
        <v>45297</v>
      </c>
      <c r="G180">
        <v>3</v>
      </c>
      <c r="H180" t="s">
        <v>11</v>
      </c>
      <c r="I180">
        <v>7145</v>
      </c>
      <c r="J180" t="str">
        <f t="shared" si="10"/>
        <v>ER</v>
      </c>
      <c r="K180" t="str">
        <f t="shared" si="11"/>
        <v>YES</v>
      </c>
      <c r="L180">
        <f t="shared" si="12"/>
        <v>3</v>
      </c>
      <c r="M180" t="str">
        <f t="shared" si="13"/>
        <v>Match</v>
      </c>
      <c r="N180">
        <f>_xlfn.XLOOKUP(UPPER(TRIM(SUBSTITUTE(J180,CHAR(160)," "))),Departments!A:A,Departments!C:C,"")</f>
        <v>2</v>
      </c>
      <c r="O180" t="str">
        <f t="shared" si="14"/>
        <v>Above Target</v>
      </c>
    </row>
    <row r="181" spans="1:15" x14ac:dyDescent="0.2">
      <c r="A181">
        <v>2180</v>
      </c>
      <c r="B181">
        <v>29</v>
      </c>
      <c r="C181" t="s">
        <v>9</v>
      </c>
      <c r="D181" t="s">
        <v>31</v>
      </c>
      <c r="E181" s="2">
        <v>45349</v>
      </c>
      <c r="F181" s="2">
        <v>45359</v>
      </c>
      <c r="G181">
        <v>10</v>
      </c>
      <c r="H181" t="s">
        <v>14</v>
      </c>
      <c r="I181">
        <v>26973</v>
      </c>
      <c r="J181" t="str">
        <f t="shared" si="10"/>
        <v>ORTHOPEDICS</v>
      </c>
      <c r="K181" t="str">
        <f t="shared" si="11"/>
        <v>NO</v>
      </c>
      <c r="L181">
        <f t="shared" si="12"/>
        <v>10</v>
      </c>
      <c r="M181" t="str">
        <f t="shared" si="13"/>
        <v>Match</v>
      </c>
      <c r="N181">
        <f>_xlfn.XLOOKUP(UPPER(TRIM(SUBSTITUTE(J181,CHAR(160)," "))),Departments!A:A,Departments!C:C,"")</f>
        <v>6</v>
      </c>
      <c r="O181" t="str">
        <f t="shared" si="14"/>
        <v>Above Target</v>
      </c>
    </row>
    <row r="182" spans="1:15" x14ac:dyDescent="0.2">
      <c r="A182">
        <v>2181</v>
      </c>
      <c r="B182">
        <v>74</v>
      </c>
      <c r="C182" t="s">
        <v>12</v>
      </c>
      <c r="D182" t="s">
        <v>32</v>
      </c>
      <c r="E182" s="2">
        <v>45313</v>
      </c>
      <c r="F182" s="2">
        <v>45320</v>
      </c>
      <c r="G182">
        <v>7</v>
      </c>
      <c r="H182" t="s">
        <v>14</v>
      </c>
      <c r="I182">
        <v>19491</v>
      </c>
      <c r="J182" t="str">
        <f t="shared" si="10"/>
        <v xml:space="preserve"> NEUROLOGY  </v>
      </c>
      <c r="K182" t="str">
        <f t="shared" si="11"/>
        <v>NO</v>
      </c>
      <c r="L182">
        <f t="shared" si="12"/>
        <v>7</v>
      </c>
      <c r="M182" t="str">
        <f t="shared" si="13"/>
        <v>Match</v>
      </c>
      <c r="N182">
        <f>_xlfn.XLOOKUP(UPPER(TRIM(SUBSTITUTE(J182,CHAR(160)," "))),Departments!A:A,Departments!C:C,"")</f>
        <v>7</v>
      </c>
      <c r="O182" t="str">
        <f t="shared" si="14"/>
        <v>Within Target</v>
      </c>
    </row>
    <row r="183" spans="1:15" x14ac:dyDescent="0.2">
      <c r="A183">
        <v>2182</v>
      </c>
      <c r="B183">
        <v>86</v>
      </c>
      <c r="C183" t="s">
        <v>9</v>
      </c>
      <c r="D183" t="s">
        <v>22</v>
      </c>
      <c r="E183" s="2">
        <v>45353</v>
      </c>
      <c r="F183" s="2">
        <v>45368</v>
      </c>
      <c r="G183">
        <v>15</v>
      </c>
      <c r="H183" t="s">
        <v>14</v>
      </c>
      <c r="I183">
        <v>31650</v>
      </c>
      <c r="J183" t="str">
        <f t="shared" si="10"/>
        <v>ONCOLOGY</v>
      </c>
      <c r="K183" t="str">
        <f t="shared" si="11"/>
        <v>NO</v>
      </c>
      <c r="L183">
        <f t="shared" si="12"/>
        <v>15</v>
      </c>
      <c r="M183" t="str">
        <f t="shared" si="13"/>
        <v>Match</v>
      </c>
      <c r="N183">
        <f>_xlfn.XLOOKUP(UPPER(TRIM(SUBSTITUTE(J183,CHAR(160)," "))),Departments!A:A,Departments!C:C,"")</f>
        <v>6</v>
      </c>
      <c r="O183" t="str">
        <f t="shared" si="14"/>
        <v>Above Target</v>
      </c>
    </row>
    <row r="184" spans="1:15" x14ac:dyDescent="0.2">
      <c r="A184">
        <v>2183</v>
      </c>
      <c r="B184">
        <v>31</v>
      </c>
      <c r="C184" t="s">
        <v>9</v>
      </c>
      <c r="D184" t="s">
        <v>10</v>
      </c>
      <c r="E184" s="2">
        <v>45329</v>
      </c>
      <c r="F184" s="2">
        <v>45331</v>
      </c>
      <c r="G184">
        <v>2</v>
      </c>
      <c r="H184" t="s">
        <v>14</v>
      </c>
      <c r="I184">
        <v>5438</v>
      </c>
      <c r="J184" t="str">
        <f t="shared" si="10"/>
        <v>ER</v>
      </c>
      <c r="K184" t="str">
        <f t="shared" si="11"/>
        <v>NO</v>
      </c>
      <c r="L184">
        <f t="shared" si="12"/>
        <v>2</v>
      </c>
      <c r="M184" t="str">
        <f t="shared" si="13"/>
        <v>Match</v>
      </c>
      <c r="N184">
        <f>_xlfn.XLOOKUP(UPPER(TRIM(SUBSTITUTE(J184,CHAR(160)," "))),Departments!A:A,Departments!C:C,"")</f>
        <v>2</v>
      </c>
      <c r="O184" t="str">
        <f t="shared" si="14"/>
        <v>Within Target</v>
      </c>
    </row>
    <row r="185" spans="1:15" x14ac:dyDescent="0.2">
      <c r="A185">
        <v>2184</v>
      </c>
      <c r="B185">
        <v>65</v>
      </c>
      <c r="C185" t="s">
        <v>12</v>
      </c>
      <c r="D185" t="s">
        <v>22</v>
      </c>
      <c r="E185" s="2">
        <v>45309</v>
      </c>
      <c r="F185" s="2">
        <v>45318</v>
      </c>
      <c r="G185">
        <v>9</v>
      </c>
      <c r="H185" t="s">
        <v>11</v>
      </c>
      <c r="I185">
        <v>27088</v>
      </c>
      <c r="J185" t="str">
        <f t="shared" si="10"/>
        <v>ONCOLOGY</v>
      </c>
      <c r="K185" t="str">
        <f t="shared" si="11"/>
        <v>YES</v>
      </c>
      <c r="L185">
        <f t="shared" si="12"/>
        <v>9</v>
      </c>
      <c r="M185" t="str">
        <f t="shared" si="13"/>
        <v>Match</v>
      </c>
      <c r="N185">
        <f>_xlfn.XLOOKUP(UPPER(TRIM(SUBSTITUTE(J185,CHAR(160)," "))),Departments!A:A,Departments!C:C,"")</f>
        <v>6</v>
      </c>
      <c r="O185" t="str">
        <f t="shared" si="14"/>
        <v>Above Target</v>
      </c>
    </row>
    <row r="186" spans="1:15" x14ac:dyDescent="0.2">
      <c r="A186">
        <v>2185</v>
      </c>
      <c r="B186">
        <v>74</v>
      </c>
      <c r="C186" t="s">
        <v>9</v>
      </c>
      <c r="D186" t="s">
        <v>17</v>
      </c>
      <c r="E186" s="2">
        <v>45315</v>
      </c>
      <c r="F186" s="2">
        <v>45325</v>
      </c>
      <c r="G186">
        <v>10</v>
      </c>
      <c r="H186" t="s">
        <v>14</v>
      </c>
      <c r="I186">
        <v>20192</v>
      </c>
      <c r="J186" t="str">
        <f t="shared" si="10"/>
        <v>ORTHOPEDICS</v>
      </c>
      <c r="K186" t="str">
        <f t="shared" si="11"/>
        <v>NO</v>
      </c>
      <c r="L186">
        <f t="shared" si="12"/>
        <v>10</v>
      </c>
      <c r="M186" t="str">
        <f t="shared" si="13"/>
        <v>Match</v>
      </c>
      <c r="N186">
        <f>_xlfn.XLOOKUP(UPPER(TRIM(SUBSTITUTE(J186,CHAR(160)," "))),Departments!A:A,Departments!C:C,"")</f>
        <v>6</v>
      </c>
      <c r="O186" t="str">
        <f t="shared" si="14"/>
        <v>Above Target</v>
      </c>
    </row>
    <row r="187" spans="1:15" x14ac:dyDescent="0.2">
      <c r="A187">
        <v>2186</v>
      </c>
      <c r="B187">
        <v>36</v>
      </c>
      <c r="C187" t="s">
        <v>9</v>
      </c>
      <c r="D187" t="s">
        <v>17</v>
      </c>
      <c r="E187" s="2">
        <v>45309</v>
      </c>
      <c r="F187" s="2">
        <v>45320</v>
      </c>
      <c r="H187" t="s">
        <v>14</v>
      </c>
      <c r="I187">
        <v>32919</v>
      </c>
      <c r="J187" t="str">
        <f t="shared" si="10"/>
        <v>ORTHOPEDICS</v>
      </c>
      <c r="K187" t="str">
        <f t="shared" si="11"/>
        <v>NO</v>
      </c>
      <c r="L187">
        <f t="shared" si="12"/>
        <v>11</v>
      </c>
      <c r="M187" t="str">
        <f t="shared" si="13"/>
        <v/>
      </c>
      <c r="N187">
        <f>_xlfn.XLOOKUP(UPPER(TRIM(SUBSTITUTE(J187,CHAR(160)," "))),Departments!A:A,Departments!C:C,"")</f>
        <v>6</v>
      </c>
      <c r="O187" t="str">
        <f t="shared" si="14"/>
        <v>Above Target</v>
      </c>
    </row>
    <row r="188" spans="1:15" x14ac:dyDescent="0.2">
      <c r="A188">
        <v>2187</v>
      </c>
      <c r="B188">
        <v>67</v>
      </c>
      <c r="C188" t="s">
        <v>12</v>
      </c>
      <c r="D188" t="s">
        <v>25</v>
      </c>
      <c r="E188" s="2">
        <v>45299</v>
      </c>
      <c r="F188" s="2">
        <v>45304</v>
      </c>
      <c r="G188">
        <v>5</v>
      </c>
      <c r="H188" t="s">
        <v>14</v>
      </c>
      <c r="I188">
        <v>11707</v>
      </c>
      <c r="J188" t="str">
        <f t="shared" si="10"/>
        <v>PEDIATRICS</v>
      </c>
      <c r="K188" t="str">
        <f t="shared" si="11"/>
        <v>NO</v>
      </c>
      <c r="L188">
        <f t="shared" si="12"/>
        <v>5</v>
      </c>
      <c r="M188" t="str">
        <f t="shared" si="13"/>
        <v>Match</v>
      </c>
      <c r="N188">
        <f>_xlfn.XLOOKUP(UPPER(TRIM(SUBSTITUTE(J188,CHAR(160)," "))),Departments!A:A,Departments!C:C,"")</f>
        <v>3</v>
      </c>
      <c r="O188" t="str">
        <f t="shared" si="14"/>
        <v>Above Target</v>
      </c>
    </row>
    <row r="189" spans="1:15" x14ac:dyDescent="0.2">
      <c r="A189">
        <v>2188</v>
      </c>
      <c r="B189">
        <v>62</v>
      </c>
      <c r="C189" t="s">
        <v>9</v>
      </c>
      <c r="D189" t="s">
        <v>25</v>
      </c>
      <c r="E189" s="2">
        <v>45326</v>
      </c>
      <c r="F189" s="2">
        <v>45328</v>
      </c>
      <c r="G189">
        <v>2</v>
      </c>
      <c r="H189" t="s">
        <v>14</v>
      </c>
      <c r="I189">
        <v>6577</v>
      </c>
      <c r="J189" t="str">
        <f t="shared" si="10"/>
        <v>PEDIATRICS</v>
      </c>
      <c r="K189" t="str">
        <f t="shared" si="11"/>
        <v>NO</v>
      </c>
      <c r="L189">
        <f t="shared" si="12"/>
        <v>2</v>
      </c>
      <c r="M189" t="str">
        <f t="shared" si="13"/>
        <v>Match</v>
      </c>
      <c r="N189">
        <f>_xlfn.XLOOKUP(UPPER(TRIM(SUBSTITUTE(J189,CHAR(160)," "))),Departments!A:A,Departments!C:C,"")</f>
        <v>3</v>
      </c>
      <c r="O189" t="str">
        <f t="shared" si="14"/>
        <v>Within Target</v>
      </c>
    </row>
    <row r="190" spans="1:15" x14ac:dyDescent="0.2">
      <c r="A190">
        <v>2189</v>
      </c>
      <c r="B190">
        <v>67</v>
      </c>
      <c r="C190" t="s">
        <v>12</v>
      </c>
      <c r="D190" t="s">
        <v>22</v>
      </c>
      <c r="E190" s="2">
        <v>45301</v>
      </c>
      <c r="F190" s="2">
        <v>45304</v>
      </c>
      <c r="G190">
        <v>3</v>
      </c>
      <c r="H190" t="s">
        <v>14</v>
      </c>
      <c r="I190">
        <v>14575</v>
      </c>
      <c r="J190" t="str">
        <f t="shared" si="10"/>
        <v>ONCOLOGY</v>
      </c>
      <c r="K190" t="str">
        <f t="shared" si="11"/>
        <v>NO</v>
      </c>
      <c r="L190">
        <f t="shared" si="12"/>
        <v>3</v>
      </c>
      <c r="M190" t="str">
        <f t="shared" si="13"/>
        <v>Match</v>
      </c>
      <c r="N190">
        <f>_xlfn.XLOOKUP(UPPER(TRIM(SUBSTITUTE(J190,CHAR(160)," "))),Departments!A:A,Departments!C:C,"")</f>
        <v>6</v>
      </c>
      <c r="O190" t="str">
        <f t="shared" si="14"/>
        <v>Within Target</v>
      </c>
    </row>
    <row r="191" spans="1:15" x14ac:dyDescent="0.2">
      <c r="A191">
        <v>2190</v>
      </c>
      <c r="B191">
        <v>74</v>
      </c>
      <c r="C191" t="s">
        <v>9</v>
      </c>
      <c r="D191" t="s">
        <v>20</v>
      </c>
      <c r="E191" s="2">
        <v>45305</v>
      </c>
      <c r="F191" s="2">
        <v>45319</v>
      </c>
      <c r="H191" t="s">
        <v>14</v>
      </c>
      <c r="I191">
        <v>35066</v>
      </c>
      <c r="J191" t="str">
        <f t="shared" si="10"/>
        <v>NEUROLOGY</v>
      </c>
      <c r="K191" t="str">
        <f t="shared" si="11"/>
        <v>NO</v>
      </c>
      <c r="L191">
        <f t="shared" si="12"/>
        <v>14</v>
      </c>
      <c r="M191" t="str">
        <f t="shared" si="13"/>
        <v/>
      </c>
      <c r="N191">
        <f>_xlfn.XLOOKUP(UPPER(TRIM(SUBSTITUTE(J191,CHAR(160)," "))),Departments!A:A,Departments!C:C,"")</f>
        <v>7</v>
      </c>
      <c r="O191" t="str">
        <f t="shared" si="14"/>
        <v>Above Target</v>
      </c>
    </row>
    <row r="192" spans="1:15" x14ac:dyDescent="0.2">
      <c r="A192">
        <v>2191</v>
      </c>
      <c r="B192">
        <v>29</v>
      </c>
      <c r="C192" t="s">
        <v>9</v>
      </c>
      <c r="D192" t="s">
        <v>31</v>
      </c>
      <c r="E192" s="2">
        <v>45305</v>
      </c>
      <c r="F192" s="2">
        <v>45311</v>
      </c>
      <c r="G192">
        <v>6</v>
      </c>
      <c r="H192" t="s">
        <v>14</v>
      </c>
      <c r="I192">
        <v>13005</v>
      </c>
      <c r="J192" t="str">
        <f t="shared" si="10"/>
        <v>ORTHOPEDICS</v>
      </c>
      <c r="K192" t="str">
        <f t="shared" si="11"/>
        <v>NO</v>
      </c>
      <c r="L192">
        <f t="shared" si="12"/>
        <v>6</v>
      </c>
      <c r="M192" t="str">
        <f t="shared" si="13"/>
        <v>Match</v>
      </c>
      <c r="N192">
        <f>_xlfn.XLOOKUP(UPPER(TRIM(SUBSTITUTE(J192,CHAR(160)," "))),Departments!A:A,Departments!C:C,"")</f>
        <v>6</v>
      </c>
      <c r="O192" t="str">
        <f t="shared" si="14"/>
        <v>Within Target</v>
      </c>
    </row>
    <row r="193" spans="1:15" x14ac:dyDescent="0.2">
      <c r="A193">
        <v>2192</v>
      </c>
      <c r="B193">
        <v>77</v>
      </c>
      <c r="C193" t="s">
        <v>12</v>
      </c>
      <c r="D193" t="s">
        <v>22</v>
      </c>
      <c r="E193" s="2">
        <v>45322</v>
      </c>
      <c r="F193" s="2">
        <v>45335</v>
      </c>
      <c r="G193">
        <v>13</v>
      </c>
      <c r="H193" t="s">
        <v>14</v>
      </c>
      <c r="I193">
        <v>31514</v>
      </c>
      <c r="J193" t="str">
        <f t="shared" si="10"/>
        <v>ONCOLOGY</v>
      </c>
      <c r="K193" t="str">
        <f t="shared" si="11"/>
        <v>NO</v>
      </c>
      <c r="L193">
        <f t="shared" si="12"/>
        <v>13</v>
      </c>
      <c r="M193" t="str">
        <f t="shared" si="13"/>
        <v>Match</v>
      </c>
      <c r="N193">
        <f>_xlfn.XLOOKUP(UPPER(TRIM(SUBSTITUTE(J193,CHAR(160)," "))),Departments!A:A,Departments!C:C,"")</f>
        <v>6</v>
      </c>
      <c r="O193" t="str">
        <f t="shared" si="14"/>
        <v>Above Target</v>
      </c>
    </row>
    <row r="194" spans="1:15" x14ac:dyDescent="0.2">
      <c r="A194">
        <v>2193</v>
      </c>
      <c r="B194">
        <v>75</v>
      </c>
      <c r="C194" t="s">
        <v>12</v>
      </c>
      <c r="D194" t="s">
        <v>13</v>
      </c>
      <c r="E194" s="2">
        <v>45307</v>
      </c>
      <c r="F194" s="2">
        <v>45310</v>
      </c>
      <c r="G194">
        <v>3</v>
      </c>
      <c r="H194" t="s">
        <v>14</v>
      </c>
      <c r="I194">
        <v>12849</v>
      </c>
      <c r="J194" t="str">
        <f t="shared" ref="J194:J241" si="15">UPPER((SUBSTITUTE(D194,CHAR(160)," ")))</f>
        <v>CARDIOLOGY</v>
      </c>
      <c r="K194" t="str">
        <f t="shared" ref="K194:K241" si="16">UPPER(TRIM(H194))</f>
        <v>NO</v>
      </c>
      <c r="L194">
        <f t="shared" si="12"/>
        <v>3</v>
      </c>
      <c r="M194" t="str">
        <f t="shared" si="13"/>
        <v>Match</v>
      </c>
      <c r="N194">
        <f>_xlfn.XLOOKUP(UPPER(TRIM(SUBSTITUTE(J194,CHAR(160)," "))),Departments!A:A,Departments!C:C,"")</f>
        <v>5</v>
      </c>
      <c r="O194" t="str">
        <f t="shared" si="14"/>
        <v>Within Target</v>
      </c>
    </row>
    <row r="195" spans="1:15" x14ac:dyDescent="0.2">
      <c r="A195">
        <v>2194</v>
      </c>
      <c r="B195">
        <v>51</v>
      </c>
      <c r="C195" t="s">
        <v>9</v>
      </c>
      <c r="D195" t="s">
        <v>18</v>
      </c>
      <c r="E195" s="2">
        <v>45373</v>
      </c>
      <c r="F195" s="2">
        <v>45381</v>
      </c>
      <c r="G195">
        <v>8</v>
      </c>
      <c r="H195" t="s">
        <v>14</v>
      </c>
      <c r="I195">
        <v>26895</v>
      </c>
      <c r="J195" t="str">
        <f t="shared" si="15"/>
        <v xml:space="preserve"> CARDIOLOGY  </v>
      </c>
      <c r="K195" t="str">
        <f t="shared" si="16"/>
        <v>NO</v>
      </c>
      <c r="L195">
        <f t="shared" ref="L195:L241" si="17">IF(OR(E195="",F195=""),"",F195-E195)</f>
        <v>8</v>
      </c>
      <c r="M195" t="str">
        <f t="shared" ref="M195:M241" si="18">IF(OR(G195="",L195=""),"",IF(G195=L195,"Match","Mismatch"))</f>
        <v>Match</v>
      </c>
      <c r="N195">
        <f>_xlfn.XLOOKUP(UPPER(TRIM(SUBSTITUTE(J195,CHAR(160)," "))),Departments!A:A,Departments!C:C,"")</f>
        <v>5</v>
      </c>
      <c r="O195" t="str">
        <f t="shared" ref="O195:O241" si="19">IF(OR(L195="",N195=""),"",IF(L195&gt;N195,"Above Target","Within Target"))</f>
        <v>Above Target</v>
      </c>
    </row>
    <row r="196" spans="1:15" x14ac:dyDescent="0.2">
      <c r="A196">
        <v>2195</v>
      </c>
      <c r="B196">
        <v>47</v>
      </c>
      <c r="C196" t="s">
        <v>12</v>
      </c>
      <c r="D196" t="s">
        <v>15</v>
      </c>
      <c r="E196" s="2">
        <v>45322</v>
      </c>
      <c r="F196" s="2">
        <v>45323</v>
      </c>
      <c r="G196">
        <v>1</v>
      </c>
      <c r="H196" t="s">
        <v>14</v>
      </c>
      <c r="I196">
        <v>5402</v>
      </c>
      <c r="J196" t="str">
        <f t="shared" si="15"/>
        <v>ER</v>
      </c>
      <c r="K196" t="str">
        <f t="shared" si="16"/>
        <v>NO</v>
      </c>
      <c r="L196">
        <f t="shared" si="17"/>
        <v>1</v>
      </c>
      <c r="M196" t="str">
        <f t="shared" si="18"/>
        <v>Match</v>
      </c>
      <c r="N196">
        <f>_xlfn.XLOOKUP(UPPER(TRIM(SUBSTITUTE(J196,CHAR(160)," "))),Departments!A:A,Departments!C:C,"")</f>
        <v>2</v>
      </c>
      <c r="O196" t="str">
        <f t="shared" si="19"/>
        <v>Within Target</v>
      </c>
    </row>
    <row r="197" spans="1:15" x14ac:dyDescent="0.2">
      <c r="A197">
        <v>2196</v>
      </c>
      <c r="B197">
        <v>42</v>
      </c>
      <c r="C197" t="s">
        <v>9</v>
      </c>
      <c r="D197" t="s">
        <v>16</v>
      </c>
      <c r="E197" s="2">
        <v>45337</v>
      </c>
      <c r="F197" s="2">
        <v>45339</v>
      </c>
      <c r="G197">
        <v>2</v>
      </c>
      <c r="H197" t="s">
        <v>14</v>
      </c>
      <c r="I197">
        <v>7613</v>
      </c>
      <c r="J197" t="str">
        <f t="shared" si="15"/>
        <v>PEDIATRICS</v>
      </c>
      <c r="K197" t="str">
        <f t="shared" si="16"/>
        <v>NO</v>
      </c>
      <c r="L197">
        <f t="shared" si="17"/>
        <v>2</v>
      </c>
      <c r="M197" t="str">
        <f t="shared" si="18"/>
        <v>Match</v>
      </c>
      <c r="N197">
        <f>_xlfn.XLOOKUP(UPPER(TRIM(SUBSTITUTE(J197,CHAR(160)," "))),Departments!A:A,Departments!C:C,"")</f>
        <v>3</v>
      </c>
      <c r="O197" t="str">
        <f t="shared" si="19"/>
        <v>Within Target</v>
      </c>
    </row>
    <row r="198" spans="1:15" x14ac:dyDescent="0.2">
      <c r="A198">
        <v>2197</v>
      </c>
      <c r="B198">
        <v>65</v>
      </c>
      <c r="C198" t="s">
        <v>9</v>
      </c>
      <c r="D198" t="s">
        <v>23</v>
      </c>
      <c r="E198" s="2">
        <v>45309</v>
      </c>
      <c r="F198" s="2">
        <v>45317</v>
      </c>
      <c r="G198">
        <v>8</v>
      </c>
      <c r="H198" t="s">
        <v>14</v>
      </c>
      <c r="I198">
        <v>23128</v>
      </c>
      <c r="J198" t="str">
        <f t="shared" si="15"/>
        <v xml:space="preserve"> ORTHOPEDICS  </v>
      </c>
      <c r="K198" t="str">
        <f t="shared" si="16"/>
        <v>NO</v>
      </c>
      <c r="L198">
        <f t="shared" si="17"/>
        <v>8</v>
      </c>
      <c r="M198" t="str">
        <f t="shared" si="18"/>
        <v>Match</v>
      </c>
      <c r="N198">
        <f>_xlfn.XLOOKUP(UPPER(TRIM(SUBSTITUTE(J198,CHAR(160)," "))),Departments!A:A,Departments!C:C,"")</f>
        <v>6</v>
      </c>
      <c r="O198" t="str">
        <f t="shared" si="19"/>
        <v>Above Target</v>
      </c>
    </row>
    <row r="199" spans="1:15" x14ac:dyDescent="0.2">
      <c r="A199">
        <v>2198</v>
      </c>
      <c r="B199">
        <v>83</v>
      </c>
      <c r="C199" t="s">
        <v>12</v>
      </c>
      <c r="D199" t="s">
        <v>16</v>
      </c>
      <c r="E199" s="2">
        <v>45371</v>
      </c>
      <c r="F199" s="2">
        <v>45374</v>
      </c>
      <c r="H199" t="s">
        <v>14</v>
      </c>
      <c r="I199">
        <v>7391</v>
      </c>
      <c r="J199" t="str">
        <f t="shared" si="15"/>
        <v>PEDIATRICS</v>
      </c>
      <c r="K199" t="str">
        <f t="shared" si="16"/>
        <v>NO</v>
      </c>
      <c r="L199">
        <f t="shared" si="17"/>
        <v>3</v>
      </c>
      <c r="M199" t="str">
        <f t="shared" si="18"/>
        <v/>
      </c>
      <c r="N199">
        <f>_xlfn.XLOOKUP(UPPER(TRIM(SUBSTITUTE(J199,CHAR(160)," "))),Departments!A:A,Departments!C:C,"")</f>
        <v>3</v>
      </c>
      <c r="O199" t="str">
        <f t="shared" si="19"/>
        <v>Within Target</v>
      </c>
    </row>
    <row r="200" spans="1:15" x14ac:dyDescent="0.2">
      <c r="A200">
        <v>2199</v>
      </c>
      <c r="B200">
        <v>6</v>
      </c>
      <c r="C200" t="s">
        <v>12</v>
      </c>
      <c r="D200" t="s">
        <v>13</v>
      </c>
      <c r="E200" s="2">
        <v>45331</v>
      </c>
      <c r="F200" s="2">
        <v>45338</v>
      </c>
      <c r="G200">
        <v>7</v>
      </c>
      <c r="H200" t="s">
        <v>14</v>
      </c>
      <c r="I200">
        <v>16345</v>
      </c>
      <c r="J200" t="str">
        <f t="shared" si="15"/>
        <v>CARDIOLOGY</v>
      </c>
      <c r="K200" t="str">
        <f t="shared" si="16"/>
        <v>NO</v>
      </c>
      <c r="L200">
        <f t="shared" si="17"/>
        <v>7</v>
      </c>
      <c r="M200" t="str">
        <f t="shared" si="18"/>
        <v>Match</v>
      </c>
      <c r="N200">
        <f>_xlfn.XLOOKUP(UPPER(TRIM(SUBSTITUTE(J200,CHAR(160)," "))),Departments!A:A,Departments!C:C,"")</f>
        <v>5</v>
      </c>
      <c r="O200" t="str">
        <f t="shared" si="19"/>
        <v>Above Target</v>
      </c>
    </row>
    <row r="201" spans="1:15" x14ac:dyDescent="0.2">
      <c r="A201">
        <v>2200</v>
      </c>
      <c r="B201">
        <v>60</v>
      </c>
      <c r="C201" t="s">
        <v>9</v>
      </c>
      <c r="D201" t="s">
        <v>15</v>
      </c>
      <c r="E201" s="2">
        <v>45307</v>
      </c>
      <c r="F201" s="2">
        <v>45309</v>
      </c>
      <c r="G201">
        <v>2</v>
      </c>
      <c r="H201" t="s">
        <v>14</v>
      </c>
      <c r="I201">
        <v>6577</v>
      </c>
      <c r="J201" t="str">
        <f t="shared" si="15"/>
        <v>ER</v>
      </c>
      <c r="K201" t="str">
        <f t="shared" si="16"/>
        <v>NO</v>
      </c>
      <c r="L201">
        <f t="shared" si="17"/>
        <v>2</v>
      </c>
      <c r="M201" t="str">
        <f t="shared" si="18"/>
        <v>Match</v>
      </c>
      <c r="N201">
        <f>_xlfn.XLOOKUP(UPPER(TRIM(SUBSTITUTE(J201,CHAR(160)," "))),Departments!A:A,Departments!C:C,"")</f>
        <v>2</v>
      </c>
      <c r="O201" t="str">
        <f t="shared" si="19"/>
        <v>Within Target</v>
      </c>
    </row>
    <row r="202" spans="1:15" x14ac:dyDescent="0.2">
      <c r="A202">
        <v>2201</v>
      </c>
      <c r="B202">
        <v>70</v>
      </c>
      <c r="C202" t="s">
        <v>12</v>
      </c>
      <c r="D202" t="s">
        <v>15</v>
      </c>
      <c r="E202" s="2">
        <v>45370</v>
      </c>
      <c r="F202" s="2">
        <v>45373</v>
      </c>
      <c r="G202">
        <v>3</v>
      </c>
      <c r="H202" t="s">
        <v>14</v>
      </c>
      <c r="I202">
        <v>7185</v>
      </c>
      <c r="J202" t="str">
        <f t="shared" si="15"/>
        <v>ER</v>
      </c>
      <c r="K202" t="str">
        <f t="shared" si="16"/>
        <v>NO</v>
      </c>
      <c r="L202">
        <f t="shared" si="17"/>
        <v>3</v>
      </c>
      <c r="M202" t="str">
        <f t="shared" si="18"/>
        <v>Match</v>
      </c>
      <c r="N202">
        <f>_xlfn.XLOOKUP(UPPER(TRIM(SUBSTITUTE(J202,CHAR(160)," "))),Departments!A:A,Departments!C:C,"")</f>
        <v>2</v>
      </c>
      <c r="O202" t="str">
        <f t="shared" si="19"/>
        <v>Above Target</v>
      </c>
    </row>
    <row r="203" spans="1:15" x14ac:dyDescent="0.2">
      <c r="A203">
        <v>2202</v>
      </c>
      <c r="B203">
        <v>62</v>
      </c>
      <c r="C203" t="s">
        <v>12</v>
      </c>
      <c r="D203" t="s">
        <v>20</v>
      </c>
      <c r="E203" s="2">
        <v>45295</v>
      </c>
      <c r="F203" s="2">
        <v>45301</v>
      </c>
      <c r="G203">
        <v>6</v>
      </c>
      <c r="H203" t="s">
        <v>14</v>
      </c>
      <c r="I203">
        <v>16465</v>
      </c>
      <c r="J203" t="str">
        <f t="shared" si="15"/>
        <v>NEUROLOGY</v>
      </c>
      <c r="K203" t="str">
        <f t="shared" si="16"/>
        <v>NO</v>
      </c>
      <c r="L203">
        <f t="shared" si="17"/>
        <v>6</v>
      </c>
      <c r="M203" t="str">
        <f t="shared" si="18"/>
        <v>Match</v>
      </c>
      <c r="N203">
        <f>_xlfn.XLOOKUP(UPPER(TRIM(SUBSTITUTE(J203,CHAR(160)," "))),Departments!A:A,Departments!C:C,"")</f>
        <v>7</v>
      </c>
      <c r="O203" t="str">
        <f t="shared" si="19"/>
        <v>Within Target</v>
      </c>
    </row>
    <row r="204" spans="1:15" x14ac:dyDescent="0.2">
      <c r="A204">
        <v>2203</v>
      </c>
      <c r="B204">
        <v>21</v>
      </c>
      <c r="C204" t="s">
        <v>9</v>
      </c>
      <c r="D204" t="s">
        <v>20</v>
      </c>
      <c r="E204" s="2">
        <v>45363</v>
      </c>
      <c r="F204" s="2">
        <v>45371</v>
      </c>
      <c r="G204">
        <v>8</v>
      </c>
      <c r="H204" t="s">
        <v>14</v>
      </c>
      <c r="I204">
        <v>21362</v>
      </c>
      <c r="J204" t="str">
        <f t="shared" si="15"/>
        <v>NEUROLOGY</v>
      </c>
      <c r="K204" t="str">
        <f t="shared" si="16"/>
        <v>NO</v>
      </c>
      <c r="L204">
        <f t="shared" si="17"/>
        <v>8</v>
      </c>
      <c r="M204" t="str">
        <f t="shared" si="18"/>
        <v>Match</v>
      </c>
      <c r="N204">
        <f>_xlfn.XLOOKUP(UPPER(TRIM(SUBSTITUTE(J204,CHAR(160)," "))),Departments!A:A,Departments!C:C,"")</f>
        <v>7</v>
      </c>
      <c r="O204" t="str">
        <f t="shared" si="19"/>
        <v>Above Target</v>
      </c>
    </row>
    <row r="205" spans="1:15" x14ac:dyDescent="0.2">
      <c r="A205">
        <v>2204</v>
      </c>
      <c r="B205">
        <v>9</v>
      </c>
      <c r="C205" t="s">
        <v>12</v>
      </c>
      <c r="D205" t="s">
        <v>15</v>
      </c>
      <c r="E205" s="2">
        <v>45376</v>
      </c>
      <c r="F205" s="2">
        <v>45377</v>
      </c>
      <c r="G205">
        <v>1</v>
      </c>
      <c r="H205" t="s">
        <v>14</v>
      </c>
      <c r="I205">
        <v>4225</v>
      </c>
      <c r="J205" t="str">
        <f t="shared" si="15"/>
        <v>ER</v>
      </c>
      <c r="K205" t="str">
        <f t="shared" si="16"/>
        <v>NO</v>
      </c>
      <c r="L205">
        <f t="shared" si="17"/>
        <v>1</v>
      </c>
      <c r="M205" t="str">
        <f t="shared" si="18"/>
        <v>Match</v>
      </c>
      <c r="N205">
        <f>_xlfn.XLOOKUP(UPPER(TRIM(SUBSTITUTE(J205,CHAR(160)," "))),Departments!A:A,Departments!C:C,"")</f>
        <v>2</v>
      </c>
      <c r="O205" t="str">
        <f t="shared" si="19"/>
        <v>Within Target</v>
      </c>
    </row>
    <row r="206" spans="1:15" x14ac:dyDescent="0.2">
      <c r="A206">
        <v>2205</v>
      </c>
      <c r="B206">
        <v>20</v>
      </c>
      <c r="C206" t="s">
        <v>12</v>
      </c>
      <c r="D206" t="s">
        <v>33</v>
      </c>
      <c r="E206" s="2">
        <v>45377</v>
      </c>
      <c r="F206" s="2">
        <v>45385</v>
      </c>
      <c r="G206">
        <v>8</v>
      </c>
      <c r="H206" t="s">
        <v>11</v>
      </c>
      <c r="I206">
        <v>19474</v>
      </c>
      <c r="J206" t="str">
        <f t="shared" si="15"/>
        <v>NEUROLOGY</v>
      </c>
      <c r="K206" t="str">
        <f t="shared" si="16"/>
        <v>YES</v>
      </c>
      <c r="L206">
        <f t="shared" si="17"/>
        <v>8</v>
      </c>
      <c r="M206" t="str">
        <f t="shared" si="18"/>
        <v>Match</v>
      </c>
      <c r="N206">
        <f>_xlfn.XLOOKUP(UPPER(TRIM(SUBSTITUTE(J206,CHAR(160)," "))),Departments!A:A,Departments!C:C,"")</f>
        <v>7</v>
      </c>
      <c r="O206" t="str">
        <f t="shared" si="19"/>
        <v>Above Target</v>
      </c>
    </row>
    <row r="207" spans="1:15" x14ac:dyDescent="0.2">
      <c r="A207">
        <v>2206</v>
      </c>
      <c r="B207">
        <v>61</v>
      </c>
      <c r="C207" t="s">
        <v>12</v>
      </c>
      <c r="D207" t="s">
        <v>16</v>
      </c>
      <c r="E207" s="2">
        <v>45372</v>
      </c>
      <c r="F207" s="2">
        <v>45374</v>
      </c>
      <c r="G207">
        <v>2</v>
      </c>
      <c r="H207" t="s">
        <v>14</v>
      </c>
      <c r="I207">
        <v>5430</v>
      </c>
      <c r="J207" t="str">
        <f t="shared" si="15"/>
        <v>PEDIATRICS</v>
      </c>
      <c r="K207" t="str">
        <f t="shared" si="16"/>
        <v>NO</v>
      </c>
      <c r="L207">
        <f t="shared" si="17"/>
        <v>2</v>
      </c>
      <c r="M207" t="str">
        <f t="shared" si="18"/>
        <v>Match</v>
      </c>
      <c r="N207">
        <f>_xlfn.XLOOKUP(UPPER(TRIM(SUBSTITUTE(J207,CHAR(160)," "))),Departments!A:A,Departments!C:C,"")</f>
        <v>3</v>
      </c>
      <c r="O207" t="str">
        <f t="shared" si="19"/>
        <v>Within Target</v>
      </c>
    </row>
    <row r="208" spans="1:15" x14ac:dyDescent="0.2">
      <c r="A208">
        <v>2207</v>
      </c>
      <c r="B208">
        <v>74</v>
      </c>
      <c r="C208" t="s">
        <v>9</v>
      </c>
      <c r="D208" t="s">
        <v>15</v>
      </c>
      <c r="E208" s="2">
        <v>45327</v>
      </c>
      <c r="F208" s="2">
        <v>45329</v>
      </c>
      <c r="G208">
        <v>2</v>
      </c>
      <c r="H208" t="s">
        <v>14</v>
      </c>
      <c r="I208">
        <v>6798</v>
      </c>
      <c r="J208" t="str">
        <f t="shared" si="15"/>
        <v>ER</v>
      </c>
      <c r="K208" t="str">
        <f t="shared" si="16"/>
        <v>NO</v>
      </c>
      <c r="L208">
        <f t="shared" si="17"/>
        <v>2</v>
      </c>
      <c r="M208" t="str">
        <f t="shared" si="18"/>
        <v>Match</v>
      </c>
      <c r="N208">
        <f>_xlfn.XLOOKUP(UPPER(TRIM(SUBSTITUTE(J208,CHAR(160)," "))),Departments!A:A,Departments!C:C,"")</f>
        <v>2</v>
      </c>
      <c r="O208" t="str">
        <f t="shared" si="19"/>
        <v>Within Target</v>
      </c>
    </row>
    <row r="209" spans="1:15" x14ac:dyDescent="0.2">
      <c r="A209">
        <v>2208</v>
      </c>
      <c r="B209">
        <v>51</v>
      </c>
      <c r="C209" t="s">
        <v>12</v>
      </c>
      <c r="D209" t="s">
        <v>16</v>
      </c>
      <c r="E209" s="2">
        <v>45333</v>
      </c>
      <c r="F209" s="2">
        <v>45334</v>
      </c>
      <c r="G209">
        <v>1</v>
      </c>
      <c r="H209" t="s">
        <v>14</v>
      </c>
      <c r="I209">
        <v>5902</v>
      </c>
      <c r="J209" t="str">
        <f t="shared" si="15"/>
        <v>PEDIATRICS</v>
      </c>
      <c r="K209" t="str">
        <f t="shared" si="16"/>
        <v>NO</v>
      </c>
      <c r="L209">
        <f t="shared" si="17"/>
        <v>1</v>
      </c>
      <c r="M209" t="str">
        <f t="shared" si="18"/>
        <v>Match</v>
      </c>
      <c r="N209">
        <f>_xlfn.XLOOKUP(UPPER(TRIM(SUBSTITUTE(J209,CHAR(160)," "))),Departments!A:A,Departments!C:C,"")</f>
        <v>3</v>
      </c>
      <c r="O209" t="str">
        <f t="shared" si="19"/>
        <v>Within Target</v>
      </c>
    </row>
    <row r="210" spans="1:15" x14ac:dyDescent="0.2">
      <c r="A210">
        <v>2209</v>
      </c>
      <c r="B210">
        <v>74</v>
      </c>
      <c r="C210" t="s">
        <v>12</v>
      </c>
      <c r="D210" t="s">
        <v>22</v>
      </c>
      <c r="E210" s="2">
        <v>45321</v>
      </c>
      <c r="F210" s="2">
        <v>45324</v>
      </c>
      <c r="G210">
        <v>3</v>
      </c>
      <c r="H210" t="s">
        <v>14</v>
      </c>
      <c r="I210">
        <v>14091</v>
      </c>
      <c r="J210" t="str">
        <f t="shared" si="15"/>
        <v>ONCOLOGY</v>
      </c>
      <c r="K210" t="str">
        <f t="shared" si="16"/>
        <v>NO</v>
      </c>
      <c r="L210">
        <f t="shared" si="17"/>
        <v>3</v>
      </c>
      <c r="M210" t="str">
        <f t="shared" si="18"/>
        <v>Match</v>
      </c>
      <c r="N210">
        <f>_xlfn.XLOOKUP(UPPER(TRIM(SUBSTITUTE(J210,CHAR(160)," "))),Departments!A:A,Departments!C:C,"")</f>
        <v>6</v>
      </c>
      <c r="O210" t="str">
        <f t="shared" si="19"/>
        <v>Within Target</v>
      </c>
    </row>
    <row r="211" spans="1:15" x14ac:dyDescent="0.2">
      <c r="A211">
        <v>2210</v>
      </c>
      <c r="B211">
        <v>55</v>
      </c>
      <c r="C211" t="s">
        <v>9</v>
      </c>
      <c r="D211" t="s">
        <v>13</v>
      </c>
      <c r="E211" s="2">
        <v>45298</v>
      </c>
      <c r="F211" s="2">
        <v>45304</v>
      </c>
      <c r="G211">
        <v>6</v>
      </c>
      <c r="H211" t="s">
        <v>14</v>
      </c>
      <c r="I211">
        <v>20322</v>
      </c>
      <c r="J211" t="str">
        <f t="shared" si="15"/>
        <v>CARDIOLOGY</v>
      </c>
      <c r="K211" t="str">
        <f t="shared" si="16"/>
        <v>NO</v>
      </c>
      <c r="L211">
        <f t="shared" si="17"/>
        <v>6</v>
      </c>
      <c r="M211" t="str">
        <f t="shared" si="18"/>
        <v>Match</v>
      </c>
      <c r="N211">
        <f>_xlfn.XLOOKUP(UPPER(TRIM(SUBSTITUTE(J211,CHAR(160)," "))),Departments!A:A,Departments!C:C,"")</f>
        <v>5</v>
      </c>
      <c r="O211" t="str">
        <f t="shared" si="19"/>
        <v>Above Target</v>
      </c>
    </row>
    <row r="212" spans="1:15" x14ac:dyDescent="0.2">
      <c r="A212">
        <v>2211</v>
      </c>
      <c r="B212">
        <v>67</v>
      </c>
      <c r="C212" t="s">
        <v>12</v>
      </c>
      <c r="D212" t="s">
        <v>15</v>
      </c>
      <c r="E212" s="2">
        <v>45351</v>
      </c>
      <c r="F212" s="2">
        <v>45352</v>
      </c>
      <c r="G212">
        <v>1</v>
      </c>
      <c r="H212" t="s">
        <v>11</v>
      </c>
      <c r="I212">
        <v>4246</v>
      </c>
      <c r="J212" t="str">
        <f t="shared" si="15"/>
        <v>ER</v>
      </c>
      <c r="K212" t="str">
        <f t="shared" si="16"/>
        <v>YES</v>
      </c>
      <c r="L212">
        <f t="shared" si="17"/>
        <v>1</v>
      </c>
      <c r="M212" t="str">
        <f t="shared" si="18"/>
        <v>Match</v>
      </c>
      <c r="N212">
        <f>_xlfn.XLOOKUP(UPPER(TRIM(SUBSTITUTE(J212,CHAR(160)," "))),Departments!A:A,Departments!C:C,"")</f>
        <v>2</v>
      </c>
      <c r="O212" t="str">
        <f t="shared" si="19"/>
        <v>Within Target</v>
      </c>
    </row>
    <row r="213" spans="1:15" x14ac:dyDescent="0.2">
      <c r="A213">
        <v>2212</v>
      </c>
      <c r="B213">
        <v>48</v>
      </c>
      <c r="C213" t="s">
        <v>12</v>
      </c>
      <c r="D213" t="s">
        <v>16</v>
      </c>
      <c r="E213" s="2">
        <v>45363</v>
      </c>
      <c r="F213" s="2">
        <v>45368</v>
      </c>
      <c r="G213">
        <v>5</v>
      </c>
      <c r="H213" t="s">
        <v>14</v>
      </c>
      <c r="I213">
        <v>11600</v>
      </c>
      <c r="J213" t="str">
        <f t="shared" si="15"/>
        <v>PEDIATRICS</v>
      </c>
      <c r="K213" t="str">
        <f t="shared" si="16"/>
        <v>NO</v>
      </c>
      <c r="L213">
        <f t="shared" si="17"/>
        <v>5</v>
      </c>
      <c r="M213" t="str">
        <f t="shared" si="18"/>
        <v>Match</v>
      </c>
      <c r="N213">
        <f>_xlfn.XLOOKUP(UPPER(TRIM(SUBSTITUTE(J213,CHAR(160)," "))),Departments!A:A,Departments!C:C,"")</f>
        <v>3</v>
      </c>
      <c r="O213" t="str">
        <f t="shared" si="19"/>
        <v>Above Target</v>
      </c>
    </row>
    <row r="214" spans="1:15" x14ac:dyDescent="0.2">
      <c r="A214">
        <v>2213</v>
      </c>
      <c r="B214">
        <v>76</v>
      </c>
      <c r="C214" t="s">
        <v>12</v>
      </c>
      <c r="D214" t="s">
        <v>30</v>
      </c>
      <c r="E214" s="2">
        <v>45359</v>
      </c>
      <c r="F214" s="2">
        <v>45360</v>
      </c>
      <c r="G214">
        <v>1</v>
      </c>
      <c r="H214" t="s">
        <v>11</v>
      </c>
      <c r="I214">
        <v>5501</v>
      </c>
      <c r="J214" t="str">
        <f t="shared" si="15"/>
        <v>PEDIATRICS</v>
      </c>
      <c r="K214" t="str">
        <f t="shared" si="16"/>
        <v>YES</v>
      </c>
      <c r="L214">
        <f t="shared" si="17"/>
        <v>1</v>
      </c>
      <c r="M214" t="str">
        <f t="shared" si="18"/>
        <v>Match</v>
      </c>
      <c r="N214">
        <f>_xlfn.XLOOKUP(UPPER(TRIM(SUBSTITUTE(J214,CHAR(160)," "))),Departments!A:A,Departments!C:C,"")</f>
        <v>3</v>
      </c>
      <c r="O214" t="str">
        <f t="shared" si="19"/>
        <v>Within Target</v>
      </c>
    </row>
    <row r="215" spans="1:15" x14ac:dyDescent="0.2">
      <c r="A215">
        <v>2214</v>
      </c>
      <c r="B215">
        <v>38</v>
      </c>
      <c r="C215" t="s">
        <v>12</v>
      </c>
      <c r="D215" t="s">
        <v>22</v>
      </c>
      <c r="E215" s="2">
        <v>45345</v>
      </c>
      <c r="F215" s="2">
        <v>45357</v>
      </c>
      <c r="G215">
        <v>12</v>
      </c>
      <c r="H215" t="s">
        <v>11</v>
      </c>
      <c r="I215">
        <v>28287</v>
      </c>
      <c r="J215" t="str">
        <f t="shared" si="15"/>
        <v>ONCOLOGY</v>
      </c>
      <c r="K215" t="str">
        <f t="shared" si="16"/>
        <v>YES</v>
      </c>
      <c r="L215">
        <f t="shared" si="17"/>
        <v>12</v>
      </c>
      <c r="M215" t="str">
        <f t="shared" si="18"/>
        <v>Match</v>
      </c>
      <c r="N215">
        <f>_xlfn.XLOOKUP(UPPER(TRIM(SUBSTITUTE(J215,CHAR(160)," "))),Departments!A:A,Departments!C:C,"")</f>
        <v>6</v>
      </c>
      <c r="O215" t="str">
        <f t="shared" si="19"/>
        <v>Above Target</v>
      </c>
    </row>
    <row r="216" spans="1:15" x14ac:dyDescent="0.2">
      <c r="A216">
        <v>2215</v>
      </c>
      <c r="B216">
        <v>81</v>
      </c>
      <c r="C216" t="s">
        <v>9</v>
      </c>
      <c r="D216" t="s">
        <v>20</v>
      </c>
      <c r="E216" s="2">
        <v>45364</v>
      </c>
      <c r="F216" s="2">
        <v>45377</v>
      </c>
      <c r="G216">
        <v>13</v>
      </c>
      <c r="H216" t="s">
        <v>14</v>
      </c>
      <c r="I216">
        <v>21934</v>
      </c>
      <c r="J216" t="str">
        <f t="shared" si="15"/>
        <v>NEUROLOGY</v>
      </c>
      <c r="K216" t="str">
        <f t="shared" si="16"/>
        <v>NO</v>
      </c>
      <c r="L216">
        <f t="shared" si="17"/>
        <v>13</v>
      </c>
      <c r="M216" t="str">
        <f t="shared" si="18"/>
        <v>Match</v>
      </c>
      <c r="N216">
        <f>_xlfn.XLOOKUP(UPPER(TRIM(SUBSTITUTE(J216,CHAR(160)," "))),Departments!A:A,Departments!C:C,"")</f>
        <v>7</v>
      </c>
      <c r="O216" t="str">
        <f t="shared" si="19"/>
        <v>Above Target</v>
      </c>
    </row>
    <row r="217" spans="1:15" x14ac:dyDescent="0.2">
      <c r="A217">
        <v>2216</v>
      </c>
      <c r="B217">
        <v>1</v>
      </c>
      <c r="C217" t="s">
        <v>12</v>
      </c>
      <c r="D217" t="s">
        <v>15</v>
      </c>
      <c r="E217" s="2">
        <v>45304</v>
      </c>
      <c r="F217" s="2">
        <v>45306</v>
      </c>
      <c r="G217">
        <v>2</v>
      </c>
      <c r="H217" t="s">
        <v>11</v>
      </c>
      <c r="I217">
        <v>4022</v>
      </c>
      <c r="J217" t="str">
        <f t="shared" si="15"/>
        <v>ER</v>
      </c>
      <c r="K217" t="str">
        <f t="shared" si="16"/>
        <v>YES</v>
      </c>
      <c r="L217">
        <f t="shared" si="17"/>
        <v>2</v>
      </c>
      <c r="M217" t="str">
        <f t="shared" si="18"/>
        <v>Match</v>
      </c>
      <c r="N217">
        <f>_xlfn.XLOOKUP(UPPER(TRIM(SUBSTITUTE(J217,CHAR(160)," "))),Departments!A:A,Departments!C:C,"")</f>
        <v>2</v>
      </c>
      <c r="O217" t="str">
        <f t="shared" si="19"/>
        <v>Within Target</v>
      </c>
    </row>
    <row r="218" spans="1:15" x14ac:dyDescent="0.2">
      <c r="A218">
        <v>2217</v>
      </c>
      <c r="B218">
        <v>69</v>
      </c>
      <c r="C218" t="s">
        <v>9</v>
      </c>
      <c r="D218" t="s">
        <v>28</v>
      </c>
      <c r="E218" s="2">
        <v>45317</v>
      </c>
      <c r="F218" s="2">
        <v>45325</v>
      </c>
      <c r="H218" t="s">
        <v>14</v>
      </c>
      <c r="I218">
        <v>18597</v>
      </c>
      <c r="J218" t="str">
        <f t="shared" si="15"/>
        <v xml:space="preserve"> ONCOLOGY  </v>
      </c>
      <c r="K218" t="str">
        <f t="shared" si="16"/>
        <v>NO</v>
      </c>
      <c r="L218">
        <f t="shared" si="17"/>
        <v>8</v>
      </c>
      <c r="M218" t="str">
        <f t="shared" si="18"/>
        <v/>
      </c>
      <c r="N218">
        <f>_xlfn.XLOOKUP(UPPER(TRIM(SUBSTITUTE(J218,CHAR(160)," "))),Departments!A:A,Departments!C:C,"")</f>
        <v>6</v>
      </c>
      <c r="O218" t="str">
        <f t="shared" si="19"/>
        <v>Above Target</v>
      </c>
    </row>
    <row r="219" spans="1:15" x14ac:dyDescent="0.2">
      <c r="A219">
        <v>2218</v>
      </c>
      <c r="B219">
        <v>67</v>
      </c>
      <c r="C219" t="s">
        <v>12</v>
      </c>
      <c r="D219" t="s">
        <v>15</v>
      </c>
      <c r="E219" s="2">
        <v>45370</v>
      </c>
      <c r="F219" s="2">
        <v>45372</v>
      </c>
      <c r="G219">
        <v>2</v>
      </c>
      <c r="H219" t="s">
        <v>14</v>
      </c>
      <c r="J219" t="str">
        <f t="shared" si="15"/>
        <v>ER</v>
      </c>
      <c r="K219" t="str">
        <f t="shared" si="16"/>
        <v>NO</v>
      </c>
      <c r="L219">
        <f t="shared" si="17"/>
        <v>2</v>
      </c>
      <c r="M219" t="str">
        <f t="shared" si="18"/>
        <v>Match</v>
      </c>
      <c r="N219">
        <f>_xlfn.XLOOKUP(UPPER(TRIM(SUBSTITUTE(J219,CHAR(160)," "))),Departments!A:A,Departments!C:C,"")</f>
        <v>2</v>
      </c>
      <c r="O219" t="str">
        <f t="shared" si="19"/>
        <v>Within Target</v>
      </c>
    </row>
    <row r="220" spans="1:15" x14ac:dyDescent="0.2">
      <c r="A220">
        <v>2219</v>
      </c>
      <c r="B220">
        <v>46</v>
      </c>
      <c r="C220" t="s">
        <v>12</v>
      </c>
      <c r="D220" t="s">
        <v>23</v>
      </c>
      <c r="E220" s="2">
        <v>45296</v>
      </c>
      <c r="F220" s="2">
        <v>45302</v>
      </c>
      <c r="G220">
        <v>6</v>
      </c>
      <c r="H220" t="s">
        <v>14</v>
      </c>
      <c r="I220">
        <v>19881</v>
      </c>
      <c r="J220" t="str">
        <f t="shared" si="15"/>
        <v xml:space="preserve"> ORTHOPEDICS  </v>
      </c>
      <c r="K220" t="str">
        <f t="shared" si="16"/>
        <v>NO</v>
      </c>
      <c r="L220">
        <f t="shared" si="17"/>
        <v>6</v>
      </c>
      <c r="M220" t="str">
        <f t="shared" si="18"/>
        <v>Match</v>
      </c>
      <c r="N220">
        <f>_xlfn.XLOOKUP(UPPER(TRIM(SUBSTITUTE(J220,CHAR(160)," "))),Departments!A:A,Departments!C:C,"")</f>
        <v>6</v>
      </c>
      <c r="O220" t="str">
        <f t="shared" si="19"/>
        <v>Within Target</v>
      </c>
    </row>
    <row r="221" spans="1:15" x14ac:dyDescent="0.2">
      <c r="A221">
        <v>2220</v>
      </c>
      <c r="B221">
        <v>51</v>
      </c>
      <c r="C221" t="s">
        <v>9</v>
      </c>
      <c r="D221" t="s">
        <v>10</v>
      </c>
      <c r="E221" s="2">
        <v>45298</v>
      </c>
      <c r="F221" s="2">
        <v>45300</v>
      </c>
      <c r="G221">
        <v>2</v>
      </c>
      <c r="H221" t="s">
        <v>14</v>
      </c>
      <c r="I221">
        <v>4502</v>
      </c>
      <c r="J221" t="str">
        <f t="shared" si="15"/>
        <v>ER</v>
      </c>
      <c r="K221" t="str">
        <f t="shared" si="16"/>
        <v>NO</v>
      </c>
      <c r="L221">
        <f t="shared" si="17"/>
        <v>2</v>
      </c>
      <c r="M221" t="str">
        <f t="shared" si="18"/>
        <v>Match</v>
      </c>
      <c r="N221">
        <f>_xlfn.XLOOKUP(UPPER(TRIM(SUBSTITUTE(J221,CHAR(160)," "))),Departments!A:A,Departments!C:C,"")</f>
        <v>2</v>
      </c>
      <c r="O221" t="str">
        <f t="shared" si="19"/>
        <v>Within Target</v>
      </c>
    </row>
    <row r="222" spans="1:15" x14ac:dyDescent="0.2">
      <c r="A222">
        <v>2221</v>
      </c>
      <c r="B222">
        <v>59</v>
      </c>
      <c r="C222" t="s">
        <v>12</v>
      </c>
      <c r="D222" t="s">
        <v>15</v>
      </c>
      <c r="E222" s="2">
        <v>45369</v>
      </c>
      <c r="F222" s="2">
        <v>45370</v>
      </c>
      <c r="G222">
        <v>1</v>
      </c>
      <c r="H222" t="s">
        <v>14</v>
      </c>
      <c r="I222">
        <v>5559</v>
      </c>
      <c r="J222" t="str">
        <f t="shared" si="15"/>
        <v>ER</v>
      </c>
      <c r="K222" t="str">
        <f t="shared" si="16"/>
        <v>NO</v>
      </c>
      <c r="L222">
        <f t="shared" si="17"/>
        <v>1</v>
      </c>
      <c r="M222" t="str">
        <f t="shared" si="18"/>
        <v>Match</v>
      </c>
      <c r="N222">
        <f>_xlfn.XLOOKUP(UPPER(TRIM(SUBSTITUTE(J222,CHAR(160)," "))),Departments!A:A,Departments!C:C,"")</f>
        <v>2</v>
      </c>
      <c r="O222" t="str">
        <f t="shared" si="19"/>
        <v>Within Target</v>
      </c>
    </row>
    <row r="223" spans="1:15" x14ac:dyDescent="0.2">
      <c r="A223">
        <v>2222</v>
      </c>
      <c r="B223">
        <v>53</v>
      </c>
      <c r="C223" t="s">
        <v>12</v>
      </c>
      <c r="D223" t="s">
        <v>15</v>
      </c>
      <c r="E223" s="2">
        <v>45354</v>
      </c>
      <c r="F223" s="2">
        <v>45355</v>
      </c>
      <c r="G223">
        <v>1</v>
      </c>
      <c r="H223" t="s">
        <v>14</v>
      </c>
      <c r="I223">
        <v>3277</v>
      </c>
      <c r="J223" t="str">
        <f t="shared" si="15"/>
        <v>ER</v>
      </c>
      <c r="K223" t="str">
        <f t="shared" si="16"/>
        <v>NO</v>
      </c>
      <c r="L223">
        <f t="shared" si="17"/>
        <v>1</v>
      </c>
      <c r="M223" t="str">
        <f t="shared" si="18"/>
        <v>Match</v>
      </c>
      <c r="N223">
        <f>_xlfn.XLOOKUP(UPPER(TRIM(SUBSTITUTE(J223,CHAR(160)," "))),Departments!A:A,Departments!C:C,"")</f>
        <v>2</v>
      </c>
      <c r="O223" t="str">
        <f t="shared" si="19"/>
        <v>Within Target</v>
      </c>
    </row>
    <row r="224" spans="1:15" x14ac:dyDescent="0.2">
      <c r="A224">
        <v>2223</v>
      </c>
      <c r="B224">
        <v>38</v>
      </c>
      <c r="C224" t="s">
        <v>12</v>
      </c>
      <c r="D224" t="s">
        <v>22</v>
      </c>
      <c r="E224" s="2">
        <v>45338</v>
      </c>
      <c r="F224" s="2">
        <v>45341</v>
      </c>
      <c r="G224">
        <v>3</v>
      </c>
      <c r="H224" t="s">
        <v>14</v>
      </c>
      <c r="I224">
        <v>14454</v>
      </c>
      <c r="J224" t="str">
        <f t="shared" si="15"/>
        <v>ONCOLOGY</v>
      </c>
      <c r="K224" t="str">
        <f t="shared" si="16"/>
        <v>NO</v>
      </c>
      <c r="L224">
        <f t="shared" si="17"/>
        <v>3</v>
      </c>
      <c r="M224" t="str">
        <f t="shared" si="18"/>
        <v>Match</v>
      </c>
      <c r="N224">
        <f>_xlfn.XLOOKUP(UPPER(TRIM(SUBSTITUTE(J224,CHAR(160)," "))),Departments!A:A,Departments!C:C,"")</f>
        <v>6</v>
      </c>
      <c r="O224" t="str">
        <f t="shared" si="19"/>
        <v>Within Target</v>
      </c>
    </row>
    <row r="225" spans="1:15" x14ac:dyDescent="0.2">
      <c r="A225">
        <v>2224</v>
      </c>
      <c r="B225">
        <v>45</v>
      </c>
      <c r="C225" t="s">
        <v>9</v>
      </c>
      <c r="D225" t="s">
        <v>15</v>
      </c>
      <c r="E225" s="2">
        <v>45316</v>
      </c>
      <c r="F225" s="2">
        <v>45318</v>
      </c>
      <c r="G225">
        <v>2</v>
      </c>
      <c r="H225" t="s">
        <v>14</v>
      </c>
      <c r="J225" t="str">
        <f t="shared" si="15"/>
        <v>ER</v>
      </c>
      <c r="K225" t="str">
        <f t="shared" si="16"/>
        <v>NO</v>
      </c>
      <c r="L225">
        <f t="shared" si="17"/>
        <v>2</v>
      </c>
      <c r="M225" t="str">
        <f t="shared" si="18"/>
        <v>Match</v>
      </c>
      <c r="N225">
        <f>_xlfn.XLOOKUP(UPPER(TRIM(SUBSTITUTE(J225,CHAR(160)," "))),Departments!A:A,Departments!C:C,"")</f>
        <v>2</v>
      </c>
      <c r="O225" t="str">
        <f t="shared" si="19"/>
        <v>Within Target</v>
      </c>
    </row>
    <row r="226" spans="1:15" x14ac:dyDescent="0.2">
      <c r="A226">
        <v>2225</v>
      </c>
      <c r="B226">
        <v>17</v>
      </c>
      <c r="C226" t="s">
        <v>9</v>
      </c>
      <c r="D226" t="s">
        <v>17</v>
      </c>
      <c r="E226" s="2">
        <v>45326</v>
      </c>
      <c r="F226" s="2">
        <v>45336</v>
      </c>
      <c r="G226">
        <v>10</v>
      </c>
      <c r="H226" t="s">
        <v>14</v>
      </c>
      <c r="I226">
        <v>19946</v>
      </c>
      <c r="J226" t="str">
        <f t="shared" si="15"/>
        <v>ORTHOPEDICS</v>
      </c>
      <c r="K226" t="str">
        <f t="shared" si="16"/>
        <v>NO</v>
      </c>
      <c r="L226">
        <f t="shared" si="17"/>
        <v>10</v>
      </c>
      <c r="M226" t="str">
        <f t="shared" si="18"/>
        <v>Match</v>
      </c>
      <c r="N226">
        <f>_xlfn.XLOOKUP(UPPER(TRIM(SUBSTITUTE(J226,CHAR(160)," "))),Departments!A:A,Departments!C:C,"")</f>
        <v>6</v>
      </c>
      <c r="O226" t="str">
        <f t="shared" si="19"/>
        <v>Above Target</v>
      </c>
    </row>
    <row r="227" spans="1:15" x14ac:dyDescent="0.2">
      <c r="A227">
        <v>2226</v>
      </c>
      <c r="B227">
        <v>46</v>
      </c>
      <c r="C227" t="s">
        <v>9</v>
      </c>
      <c r="D227" t="s">
        <v>16</v>
      </c>
      <c r="E227" s="2">
        <v>45343</v>
      </c>
      <c r="F227" s="2">
        <v>45347</v>
      </c>
      <c r="G227">
        <v>4</v>
      </c>
      <c r="H227" t="s">
        <v>14</v>
      </c>
      <c r="I227">
        <v>11982</v>
      </c>
      <c r="J227" t="str">
        <f t="shared" si="15"/>
        <v>PEDIATRICS</v>
      </c>
      <c r="K227" t="str">
        <f t="shared" si="16"/>
        <v>NO</v>
      </c>
      <c r="L227">
        <f t="shared" si="17"/>
        <v>4</v>
      </c>
      <c r="M227" t="str">
        <f t="shared" si="18"/>
        <v>Match</v>
      </c>
      <c r="N227">
        <f>_xlfn.XLOOKUP(UPPER(TRIM(SUBSTITUTE(J227,CHAR(160)," "))),Departments!A:A,Departments!C:C,"")</f>
        <v>3</v>
      </c>
      <c r="O227" t="str">
        <f t="shared" si="19"/>
        <v>Above Target</v>
      </c>
    </row>
    <row r="228" spans="1:15" x14ac:dyDescent="0.2">
      <c r="A228">
        <v>2227</v>
      </c>
      <c r="B228">
        <v>87</v>
      </c>
      <c r="C228" t="s">
        <v>9</v>
      </c>
      <c r="D228" t="s">
        <v>16</v>
      </c>
      <c r="E228" s="2">
        <v>45325</v>
      </c>
      <c r="F228" s="2">
        <v>45330</v>
      </c>
      <c r="G228">
        <v>5</v>
      </c>
      <c r="H228" t="s">
        <v>14</v>
      </c>
      <c r="I228">
        <v>14468</v>
      </c>
      <c r="J228" t="str">
        <f t="shared" si="15"/>
        <v>PEDIATRICS</v>
      </c>
      <c r="K228" t="str">
        <f t="shared" si="16"/>
        <v>NO</v>
      </c>
      <c r="L228">
        <f t="shared" si="17"/>
        <v>5</v>
      </c>
      <c r="M228" t="str">
        <f t="shared" si="18"/>
        <v>Match</v>
      </c>
      <c r="N228">
        <f>_xlfn.XLOOKUP(UPPER(TRIM(SUBSTITUTE(J228,CHAR(160)," "))),Departments!A:A,Departments!C:C,"")</f>
        <v>3</v>
      </c>
      <c r="O228" t="str">
        <f t="shared" si="19"/>
        <v>Above Target</v>
      </c>
    </row>
    <row r="229" spans="1:15" x14ac:dyDescent="0.2">
      <c r="A229">
        <v>2228</v>
      </c>
      <c r="B229">
        <v>16</v>
      </c>
      <c r="C229" t="s">
        <v>9</v>
      </c>
      <c r="D229" t="s">
        <v>22</v>
      </c>
      <c r="E229" s="2">
        <v>45326</v>
      </c>
      <c r="F229" s="2">
        <v>45339</v>
      </c>
      <c r="G229">
        <v>13</v>
      </c>
      <c r="H229" t="s">
        <v>14</v>
      </c>
      <c r="I229">
        <v>30702</v>
      </c>
      <c r="J229" t="str">
        <f t="shared" si="15"/>
        <v>ONCOLOGY</v>
      </c>
      <c r="K229" t="str">
        <f t="shared" si="16"/>
        <v>NO</v>
      </c>
      <c r="L229">
        <f t="shared" si="17"/>
        <v>13</v>
      </c>
      <c r="M229" t="str">
        <f t="shared" si="18"/>
        <v>Match</v>
      </c>
      <c r="N229">
        <f>_xlfn.XLOOKUP(UPPER(TRIM(SUBSTITUTE(J229,CHAR(160)," "))),Departments!A:A,Departments!C:C,"")</f>
        <v>6</v>
      </c>
      <c r="O229" t="str">
        <f t="shared" si="19"/>
        <v>Above Target</v>
      </c>
    </row>
    <row r="230" spans="1:15" x14ac:dyDescent="0.2">
      <c r="A230">
        <v>2229</v>
      </c>
      <c r="B230">
        <v>12</v>
      </c>
      <c r="C230" t="s">
        <v>9</v>
      </c>
      <c r="D230" t="s">
        <v>17</v>
      </c>
      <c r="E230" s="2">
        <v>45333</v>
      </c>
      <c r="F230" s="2">
        <v>45338</v>
      </c>
      <c r="G230">
        <v>5</v>
      </c>
      <c r="H230" t="s">
        <v>14</v>
      </c>
      <c r="I230">
        <v>12954</v>
      </c>
      <c r="J230" t="str">
        <f t="shared" si="15"/>
        <v>ORTHOPEDICS</v>
      </c>
      <c r="K230" t="str">
        <f t="shared" si="16"/>
        <v>NO</v>
      </c>
      <c r="L230">
        <f t="shared" si="17"/>
        <v>5</v>
      </c>
      <c r="M230" t="str">
        <f t="shared" si="18"/>
        <v>Match</v>
      </c>
      <c r="N230">
        <f>_xlfn.XLOOKUP(UPPER(TRIM(SUBSTITUTE(J230,CHAR(160)," "))),Departments!A:A,Departments!C:C,"")</f>
        <v>6</v>
      </c>
      <c r="O230" t="str">
        <f t="shared" si="19"/>
        <v>Within Target</v>
      </c>
    </row>
    <row r="231" spans="1:15" x14ac:dyDescent="0.2">
      <c r="A231">
        <v>2230</v>
      </c>
      <c r="B231">
        <v>9</v>
      </c>
      <c r="C231" t="s">
        <v>12</v>
      </c>
      <c r="D231" t="s">
        <v>13</v>
      </c>
      <c r="E231" s="2">
        <v>45320</v>
      </c>
      <c r="F231" s="2">
        <v>45326</v>
      </c>
      <c r="G231">
        <v>6</v>
      </c>
      <c r="H231" t="s">
        <v>11</v>
      </c>
      <c r="I231">
        <v>19080</v>
      </c>
      <c r="J231" t="str">
        <f t="shared" si="15"/>
        <v>CARDIOLOGY</v>
      </c>
      <c r="K231" t="str">
        <f t="shared" si="16"/>
        <v>YES</v>
      </c>
      <c r="L231">
        <f t="shared" si="17"/>
        <v>6</v>
      </c>
      <c r="M231" t="str">
        <f t="shared" si="18"/>
        <v>Match</v>
      </c>
      <c r="N231">
        <f>_xlfn.XLOOKUP(UPPER(TRIM(SUBSTITUTE(J231,CHAR(160)," "))),Departments!A:A,Departments!C:C,"")</f>
        <v>5</v>
      </c>
      <c r="O231" t="str">
        <f t="shared" si="19"/>
        <v>Above Target</v>
      </c>
    </row>
    <row r="232" spans="1:15" x14ac:dyDescent="0.2">
      <c r="A232">
        <v>2231</v>
      </c>
      <c r="B232">
        <v>81</v>
      </c>
      <c r="C232" t="s">
        <v>9</v>
      </c>
      <c r="D232" t="s">
        <v>20</v>
      </c>
      <c r="E232" s="2">
        <v>45314</v>
      </c>
      <c r="F232" s="2">
        <v>45317</v>
      </c>
      <c r="G232">
        <v>3</v>
      </c>
      <c r="H232" t="s">
        <v>14</v>
      </c>
      <c r="I232">
        <v>14393</v>
      </c>
      <c r="J232" t="str">
        <f t="shared" si="15"/>
        <v>NEUROLOGY</v>
      </c>
      <c r="K232" t="str">
        <f t="shared" si="16"/>
        <v>NO</v>
      </c>
      <c r="L232">
        <f t="shared" si="17"/>
        <v>3</v>
      </c>
      <c r="M232" t="str">
        <f t="shared" si="18"/>
        <v>Match</v>
      </c>
      <c r="N232">
        <f>_xlfn.XLOOKUP(UPPER(TRIM(SUBSTITUTE(J232,CHAR(160)," "))),Departments!A:A,Departments!C:C,"")</f>
        <v>7</v>
      </c>
      <c r="O232" t="str">
        <f t="shared" si="19"/>
        <v>Within Target</v>
      </c>
    </row>
    <row r="233" spans="1:15" x14ac:dyDescent="0.2">
      <c r="A233">
        <v>2232</v>
      </c>
      <c r="B233">
        <v>52</v>
      </c>
      <c r="C233" t="s">
        <v>12</v>
      </c>
      <c r="D233" t="s">
        <v>16</v>
      </c>
      <c r="E233" s="2">
        <v>45304</v>
      </c>
      <c r="F233" s="2">
        <v>45306</v>
      </c>
      <c r="G233">
        <v>2</v>
      </c>
      <c r="H233" t="s">
        <v>14</v>
      </c>
      <c r="I233">
        <v>7977</v>
      </c>
      <c r="J233" t="str">
        <f t="shared" si="15"/>
        <v>PEDIATRICS</v>
      </c>
      <c r="K233" t="str">
        <f t="shared" si="16"/>
        <v>NO</v>
      </c>
      <c r="L233">
        <f t="shared" si="17"/>
        <v>2</v>
      </c>
      <c r="M233" t="str">
        <f t="shared" si="18"/>
        <v>Match</v>
      </c>
      <c r="N233">
        <f>_xlfn.XLOOKUP(UPPER(TRIM(SUBSTITUTE(J233,CHAR(160)," "))),Departments!A:A,Departments!C:C,"")</f>
        <v>3</v>
      </c>
      <c r="O233" t="str">
        <f t="shared" si="19"/>
        <v>Within Target</v>
      </c>
    </row>
    <row r="234" spans="1:15" x14ac:dyDescent="0.2">
      <c r="A234">
        <v>2233</v>
      </c>
      <c r="B234">
        <v>78</v>
      </c>
      <c r="C234" t="s">
        <v>9</v>
      </c>
      <c r="D234" t="s">
        <v>15</v>
      </c>
      <c r="E234" s="2">
        <v>45317</v>
      </c>
      <c r="F234" s="2">
        <v>45318</v>
      </c>
      <c r="G234">
        <v>1</v>
      </c>
      <c r="H234" t="s">
        <v>11</v>
      </c>
      <c r="I234">
        <v>3811</v>
      </c>
      <c r="J234" t="str">
        <f t="shared" si="15"/>
        <v>ER</v>
      </c>
      <c r="K234" t="str">
        <f t="shared" si="16"/>
        <v>YES</v>
      </c>
      <c r="L234">
        <f t="shared" si="17"/>
        <v>1</v>
      </c>
      <c r="M234" t="str">
        <f t="shared" si="18"/>
        <v>Match</v>
      </c>
      <c r="N234">
        <f>_xlfn.XLOOKUP(UPPER(TRIM(SUBSTITUTE(J234,CHAR(160)," "))),Departments!A:A,Departments!C:C,"")</f>
        <v>2</v>
      </c>
      <c r="O234" t="str">
        <f t="shared" si="19"/>
        <v>Within Target</v>
      </c>
    </row>
    <row r="235" spans="1:15" x14ac:dyDescent="0.2">
      <c r="A235">
        <v>2234</v>
      </c>
      <c r="B235">
        <v>73</v>
      </c>
      <c r="C235" t="s">
        <v>12</v>
      </c>
      <c r="D235" t="s">
        <v>16</v>
      </c>
      <c r="E235" s="2">
        <v>45358</v>
      </c>
      <c r="F235" s="2">
        <v>45361</v>
      </c>
      <c r="G235">
        <v>3</v>
      </c>
      <c r="H235" t="s">
        <v>14</v>
      </c>
      <c r="I235">
        <v>10148</v>
      </c>
      <c r="J235" t="str">
        <f t="shared" si="15"/>
        <v>PEDIATRICS</v>
      </c>
      <c r="K235" t="str">
        <f t="shared" si="16"/>
        <v>NO</v>
      </c>
      <c r="L235">
        <f t="shared" si="17"/>
        <v>3</v>
      </c>
      <c r="M235" t="str">
        <f t="shared" si="18"/>
        <v>Match</v>
      </c>
      <c r="N235">
        <f>_xlfn.XLOOKUP(UPPER(TRIM(SUBSTITUTE(J235,CHAR(160)," "))),Departments!A:A,Departments!C:C,"")</f>
        <v>3</v>
      </c>
      <c r="O235" t="str">
        <f t="shared" si="19"/>
        <v>Within Target</v>
      </c>
    </row>
    <row r="236" spans="1:15" x14ac:dyDescent="0.2">
      <c r="A236">
        <v>2235</v>
      </c>
      <c r="B236">
        <v>6</v>
      </c>
      <c r="C236" t="s">
        <v>9</v>
      </c>
      <c r="D236" t="s">
        <v>17</v>
      </c>
      <c r="E236" s="2">
        <v>45379</v>
      </c>
      <c r="F236" s="2">
        <v>45382</v>
      </c>
      <c r="G236">
        <v>3</v>
      </c>
      <c r="H236" t="s">
        <v>11</v>
      </c>
      <c r="I236">
        <v>12286</v>
      </c>
      <c r="J236" t="str">
        <f t="shared" si="15"/>
        <v>ORTHOPEDICS</v>
      </c>
      <c r="K236" t="str">
        <f t="shared" si="16"/>
        <v>YES</v>
      </c>
      <c r="L236">
        <f t="shared" si="17"/>
        <v>3</v>
      </c>
      <c r="M236" t="str">
        <f t="shared" si="18"/>
        <v>Match</v>
      </c>
      <c r="N236">
        <f>_xlfn.XLOOKUP(UPPER(TRIM(SUBSTITUTE(J236,CHAR(160)," "))),Departments!A:A,Departments!C:C,"")</f>
        <v>6</v>
      </c>
      <c r="O236" t="str">
        <f t="shared" si="19"/>
        <v>Within Target</v>
      </c>
    </row>
    <row r="237" spans="1:15" x14ac:dyDescent="0.2">
      <c r="A237">
        <v>2236</v>
      </c>
      <c r="B237">
        <v>51</v>
      </c>
      <c r="C237" t="s">
        <v>9</v>
      </c>
      <c r="D237" t="s">
        <v>20</v>
      </c>
      <c r="E237" s="2">
        <v>45359</v>
      </c>
      <c r="F237" s="2">
        <v>45363</v>
      </c>
      <c r="G237">
        <v>4</v>
      </c>
      <c r="H237" t="s">
        <v>14</v>
      </c>
      <c r="I237">
        <v>15678</v>
      </c>
      <c r="J237" t="str">
        <f t="shared" si="15"/>
        <v>NEUROLOGY</v>
      </c>
      <c r="K237" t="str">
        <f t="shared" si="16"/>
        <v>NO</v>
      </c>
      <c r="L237">
        <f t="shared" si="17"/>
        <v>4</v>
      </c>
      <c r="M237" t="str">
        <f t="shared" si="18"/>
        <v>Match</v>
      </c>
      <c r="N237">
        <f>_xlfn.XLOOKUP(UPPER(TRIM(SUBSTITUTE(J237,CHAR(160)," "))),Departments!A:A,Departments!C:C,"")</f>
        <v>7</v>
      </c>
      <c r="O237" t="str">
        <f t="shared" si="19"/>
        <v>Within Target</v>
      </c>
    </row>
    <row r="238" spans="1:15" x14ac:dyDescent="0.2">
      <c r="A238">
        <v>2237</v>
      </c>
      <c r="B238">
        <v>81</v>
      </c>
      <c r="C238" t="s">
        <v>12</v>
      </c>
      <c r="D238" t="s">
        <v>22</v>
      </c>
      <c r="E238" s="2">
        <v>45298</v>
      </c>
      <c r="F238" s="2">
        <v>45310</v>
      </c>
      <c r="G238">
        <v>12</v>
      </c>
      <c r="H238" t="s">
        <v>14</v>
      </c>
      <c r="I238">
        <v>31402</v>
      </c>
      <c r="J238" t="str">
        <f t="shared" si="15"/>
        <v>ONCOLOGY</v>
      </c>
      <c r="K238" t="str">
        <f t="shared" si="16"/>
        <v>NO</v>
      </c>
      <c r="L238">
        <f t="shared" si="17"/>
        <v>12</v>
      </c>
      <c r="M238" t="str">
        <f t="shared" si="18"/>
        <v>Match</v>
      </c>
      <c r="N238">
        <f>_xlfn.XLOOKUP(UPPER(TRIM(SUBSTITUTE(J238,CHAR(160)," "))),Departments!A:A,Departments!C:C,"")</f>
        <v>6</v>
      </c>
      <c r="O238" t="str">
        <f t="shared" si="19"/>
        <v>Above Target</v>
      </c>
    </row>
    <row r="239" spans="1:15" x14ac:dyDescent="0.2">
      <c r="A239">
        <v>2238</v>
      </c>
      <c r="B239">
        <v>6</v>
      </c>
      <c r="C239" t="s">
        <v>12</v>
      </c>
      <c r="D239" t="s">
        <v>17</v>
      </c>
      <c r="E239" s="2">
        <v>45361</v>
      </c>
      <c r="F239" s="2">
        <v>45365</v>
      </c>
      <c r="G239">
        <v>4</v>
      </c>
      <c r="H239" t="s">
        <v>14</v>
      </c>
      <c r="I239">
        <v>13845</v>
      </c>
      <c r="J239" t="str">
        <f t="shared" si="15"/>
        <v>ORTHOPEDICS</v>
      </c>
      <c r="K239" t="str">
        <f t="shared" si="16"/>
        <v>NO</v>
      </c>
      <c r="L239">
        <f t="shared" si="17"/>
        <v>4</v>
      </c>
      <c r="M239" t="str">
        <f t="shared" si="18"/>
        <v>Match</v>
      </c>
      <c r="N239">
        <f>_xlfn.XLOOKUP(UPPER(TRIM(SUBSTITUTE(J239,CHAR(160)," "))),Departments!A:A,Departments!C:C,"")</f>
        <v>6</v>
      </c>
      <c r="O239" t="str">
        <f t="shared" si="19"/>
        <v>Within Target</v>
      </c>
    </row>
    <row r="240" spans="1:15" x14ac:dyDescent="0.2">
      <c r="A240">
        <v>2239</v>
      </c>
      <c r="B240">
        <v>12</v>
      </c>
      <c r="C240" t="s">
        <v>9</v>
      </c>
      <c r="D240" t="s">
        <v>16</v>
      </c>
      <c r="E240" s="2">
        <v>45331</v>
      </c>
      <c r="F240" s="2">
        <v>45333</v>
      </c>
      <c r="H240" t="s">
        <v>14</v>
      </c>
      <c r="I240">
        <v>8364</v>
      </c>
      <c r="J240" t="str">
        <f t="shared" si="15"/>
        <v>PEDIATRICS</v>
      </c>
      <c r="K240" t="str">
        <f t="shared" si="16"/>
        <v>NO</v>
      </c>
      <c r="L240">
        <f t="shared" si="17"/>
        <v>2</v>
      </c>
      <c r="M240" t="str">
        <f t="shared" si="18"/>
        <v/>
      </c>
      <c r="N240">
        <f>_xlfn.XLOOKUP(UPPER(TRIM(SUBSTITUTE(J240,CHAR(160)," "))),Departments!A:A,Departments!C:C,"")</f>
        <v>3</v>
      </c>
      <c r="O240" t="str">
        <f t="shared" si="19"/>
        <v>Within Target</v>
      </c>
    </row>
    <row r="241" spans="1:15" x14ac:dyDescent="0.2">
      <c r="A241">
        <v>2240</v>
      </c>
      <c r="B241">
        <v>18</v>
      </c>
      <c r="C241" t="s">
        <v>12</v>
      </c>
      <c r="D241" t="s">
        <v>16</v>
      </c>
      <c r="E241" s="2">
        <v>45330</v>
      </c>
      <c r="F241" s="2">
        <v>45332</v>
      </c>
      <c r="G241">
        <v>2</v>
      </c>
      <c r="H241" t="s">
        <v>14</v>
      </c>
      <c r="I241">
        <v>6783</v>
      </c>
      <c r="J241" t="str">
        <f t="shared" si="15"/>
        <v>PEDIATRICS</v>
      </c>
      <c r="K241" t="str">
        <f t="shared" si="16"/>
        <v>NO</v>
      </c>
      <c r="L241">
        <f t="shared" si="17"/>
        <v>2</v>
      </c>
      <c r="M241" t="str">
        <f t="shared" si="18"/>
        <v>Match</v>
      </c>
      <c r="N241">
        <f>_xlfn.XLOOKUP(UPPER(TRIM(SUBSTITUTE(J241,CHAR(160)," "))),Departments!A:A,Departments!C:C,"")</f>
        <v>3</v>
      </c>
      <c r="O241" t="str">
        <f t="shared" si="19"/>
        <v>Within Target</v>
      </c>
    </row>
    <row r="245" spans="1:15" x14ac:dyDescent="0.2">
      <c r="A245" s="6"/>
    </row>
    <row r="250" spans="1:15" x14ac:dyDescent="0.2">
      <c r="A250" s="6"/>
    </row>
    <row r="254" spans="1:15" x14ac:dyDescent="0.2">
      <c r="A254" s="6"/>
    </row>
    <row r="258" spans="1:1" x14ac:dyDescent="0.2">
      <c r="A258" s="6"/>
    </row>
    <row r="259" spans="1:1" x14ac:dyDescent="0.2">
      <c r="A259" s="7"/>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0295A-E115-6A41-BCF3-2B73AB839AA1}">
  <dimension ref="B1:J4"/>
  <sheetViews>
    <sheetView topLeftCell="A13" workbookViewId="0">
      <selection activeCell="L32" sqref="L32"/>
    </sheetView>
  </sheetViews>
  <sheetFormatPr baseColWidth="10" defaultRowHeight="15" x14ac:dyDescent="0.2"/>
  <cols>
    <col min="2" max="2" width="20.5" customWidth="1"/>
    <col min="4" max="4" width="24" customWidth="1"/>
    <col min="6" max="6" width="22.5" customWidth="1"/>
    <col min="8" max="8" width="17.33203125" customWidth="1"/>
    <col min="10" max="10" width="24.33203125" customWidth="1"/>
  </cols>
  <sheetData>
    <row r="1" spans="2:10" ht="29" x14ac:dyDescent="0.35">
      <c r="B1" s="16" t="s">
        <v>64</v>
      </c>
    </row>
    <row r="2" spans="2:10" ht="21" x14ac:dyDescent="0.25">
      <c r="B2" s="10" t="s">
        <v>59</v>
      </c>
      <c r="D2" s="10" t="s">
        <v>60</v>
      </c>
      <c r="F2" s="10" t="s">
        <v>61</v>
      </c>
      <c r="H2" s="10" t="s">
        <v>62</v>
      </c>
      <c r="J2" s="10" t="s">
        <v>63</v>
      </c>
    </row>
    <row r="3" spans="2:10" ht="19" x14ac:dyDescent="0.25">
      <c r="B3" s="11">
        <f>COUNTA(Patient_Admissions!A2:A2241)</f>
        <v>240</v>
      </c>
      <c r="C3" s="12"/>
      <c r="D3" s="11">
        <f>AVERAGE(Patient_Admissions!L2:L2241)</f>
        <v>5.1063829787234045</v>
      </c>
      <c r="E3" s="12"/>
      <c r="F3" s="13">
        <f>COUNTIF(Patient_Admissions!K2:K2241,"YES") / COUNTA(Patient_Admissions!A2:A2241)</f>
        <v>0.22083333333333333</v>
      </c>
      <c r="G3" s="12"/>
      <c r="H3" s="14">
        <f>SUM(Patient_Admissions!I2:I2241)</f>
        <v>3395663</v>
      </c>
      <c r="I3" s="12"/>
      <c r="J3" s="15">
        <f>COUNTIF(Patient_Admissions!O2:O2241,"Above Target")/COUNTIF(Patient_Admissions!O2:O2241,"&lt;&gt;")</f>
        <v>0.4</v>
      </c>
    </row>
    <row r="4" spans="2:10" ht="16" x14ac:dyDescent="0.2">
      <c r="F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8.83203125" defaultRowHeight="15" x14ac:dyDescent="0.2"/>
  <cols>
    <col min="1" max="1" width="16" customWidth="1"/>
    <col min="2" max="3" width="14" customWidth="1"/>
  </cols>
  <sheetData>
    <row r="1" spans="1:3" x14ac:dyDescent="0.2">
      <c r="A1" s="1" t="s">
        <v>3</v>
      </c>
      <c r="B1" s="1" t="s">
        <v>34</v>
      </c>
      <c r="C1" s="1" t="s">
        <v>35</v>
      </c>
    </row>
    <row r="2" spans="1:3" x14ac:dyDescent="0.2">
      <c r="A2" t="s">
        <v>13</v>
      </c>
      <c r="B2" t="s">
        <v>36</v>
      </c>
      <c r="C2">
        <v>5</v>
      </c>
    </row>
    <row r="3" spans="1:3" x14ac:dyDescent="0.2">
      <c r="A3" t="s">
        <v>17</v>
      </c>
      <c r="B3" t="s">
        <v>37</v>
      </c>
      <c r="C3">
        <v>6</v>
      </c>
    </row>
    <row r="4" spans="1:3" x14ac:dyDescent="0.2">
      <c r="A4" t="s">
        <v>20</v>
      </c>
      <c r="B4" t="s">
        <v>38</v>
      </c>
      <c r="C4">
        <v>7</v>
      </c>
    </row>
    <row r="5" spans="1:3" x14ac:dyDescent="0.2">
      <c r="A5" t="s">
        <v>15</v>
      </c>
      <c r="B5" t="s">
        <v>39</v>
      </c>
      <c r="C5">
        <v>2</v>
      </c>
    </row>
    <row r="6" spans="1:3" x14ac:dyDescent="0.2">
      <c r="A6" t="s">
        <v>22</v>
      </c>
      <c r="B6" t="s">
        <v>40</v>
      </c>
      <c r="C6">
        <v>6</v>
      </c>
    </row>
    <row r="7" spans="1:3" x14ac:dyDescent="0.2">
      <c r="A7" t="s">
        <v>16</v>
      </c>
      <c r="B7" t="s">
        <v>41</v>
      </c>
      <c r="C7">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8.83203125" defaultRowHeight="15" x14ac:dyDescent="0.2"/>
  <cols>
    <col min="1" max="1" width="110" customWidth="1"/>
  </cols>
  <sheetData>
    <row r="1" spans="1:1" ht="16" x14ac:dyDescent="0.2">
      <c r="A1" s="3" t="s">
        <v>42</v>
      </c>
    </row>
    <row r="2" spans="1:1" x14ac:dyDescent="0.2">
      <c r="A2" t="s">
        <v>43</v>
      </c>
    </row>
    <row r="3" spans="1:1" x14ac:dyDescent="0.2">
      <c r="A3" t="s">
        <v>44</v>
      </c>
    </row>
    <row r="4" spans="1:1" x14ac:dyDescent="0.2">
      <c r="A4" t="s">
        <v>45</v>
      </c>
    </row>
    <row r="6" spans="1:1" x14ac:dyDescent="0.2">
      <c r="A6" t="s">
        <v>46</v>
      </c>
    </row>
    <row r="7" spans="1:1" x14ac:dyDescent="0.2">
      <c r="A7" t="s">
        <v>47</v>
      </c>
    </row>
    <row r="8" spans="1:1" x14ac:dyDescent="0.2">
      <c r="A8" t="s">
        <v>48</v>
      </c>
    </row>
    <row r="9" spans="1:1" x14ac:dyDescent="0.2">
      <c r="A9" t="s">
        <v>49</v>
      </c>
    </row>
    <row r="10" spans="1:1" x14ac:dyDescent="0.2">
      <c r="A10"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Pivot_Analysis</vt:lpstr>
      <vt:lpstr>Patient_Admissions</vt:lpstr>
      <vt:lpstr>Dashboard</vt:lpstr>
      <vt:lpstr>Departments</vt:lpstr>
      <vt:lpstr>Portfolio_Instructions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krishna Mishra</cp:lastModifiedBy>
  <dcterms:created xsi:type="dcterms:W3CDTF">2026-01-18T03:22:36Z</dcterms:created>
  <dcterms:modified xsi:type="dcterms:W3CDTF">2026-01-21T01:52:47Z</dcterms:modified>
</cp:coreProperties>
</file>